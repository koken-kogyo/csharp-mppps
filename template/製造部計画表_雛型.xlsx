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kmtsvr\共有SVEM02\Koken\切削生産計画システム\雛形\"/>
    </mc:Choice>
  </mc:AlternateContent>
  <xr:revisionPtr revIDLastSave="0" documentId="13_ncr:1_{00CE9266-A04F-4220-A9D0-4DD1B653CF9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雛形" sheetId="4" r:id="rId1"/>
    <sheet name="サンプル" sheetId="3" r:id="rId2"/>
    <sheet name="①オリジナルサンプル" sheetId="2" r:id="rId3"/>
  </sheets>
  <definedNames>
    <definedName name="_xlnm.Print_Area" localSheetId="2">①オリジナルサンプル!$A$1:$V$46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6" i="3" l="1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D45" i="3" a="1"/>
  <c r="D45" i="3" s="1"/>
  <c r="AB45" i="3" a="1"/>
  <c r="AB45" i="3" s="1"/>
  <c r="AA45" i="3" a="1"/>
  <c r="AA45" i="3" s="1"/>
  <c r="Z45" i="3" a="1"/>
  <c r="Z45" i="3" s="1"/>
  <c r="Y45" i="3" a="1"/>
  <c r="Y45" i="3" s="1"/>
  <c r="X45" i="3" a="1"/>
  <c r="X45" i="3" s="1"/>
  <c r="W45" i="3" a="1"/>
  <c r="W45" i="3" s="1"/>
  <c r="V45" i="3" a="1"/>
  <c r="V45" i="3" s="1"/>
  <c r="U45" i="3" a="1"/>
  <c r="U45" i="3" s="1"/>
  <c r="T45" i="3" a="1"/>
  <c r="T45" i="3" s="1"/>
  <c r="S45" i="3" a="1"/>
  <c r="S45" i="3" s="1"/>
  <c r="R45" i="3" a="1"/>
  <c r="R45" i="3" s="1"/>
  <c r="Q45" i="3" a="1"/>
  <c r="Q45" i="3" s="1"/>
  <c r="P45" i="3" a="1"/>
  <c r="P45" i="3" s="1"/>
  <c r="O45" i="3" a="1"/>
  <c r="O45" i="3" s="1"/>
  <c r="N45" i="3" a="1"/>
  <c r="N45" i="3" s="1"/>
  <c r="M45" i="3" a="1"/>
  <c r="M45" i="3" s="1"/>
  <c r="L45" i="3" a="1"/>
  <c r="L45" i="3" s="1"/>
  <c r="K45" i="3" a="1"/>
  <c r="K45" i="3" s="1"/>
  <c r="J45" i="3" a="1"/>
  <c r="J45" i="3" s="1"/>
  <c r="I45" i="3" a="1"/>
  <c r="I45" i="3" s="1"/>
  <c r="H45" i="3" a="1"/>
  <c r="H45" i="3" s="1"/>
  <c r="G45" i="3" a="1"/>
  <c r="G45" i="3" s="1"/>
  <c r="F45" i="3" a="1"/>
  <c r="F45" i="3" s="1"/>
  <c r="E45" i="3" a="1"/>
  <c r="E45" i="3" s="1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AB9" i="4" a="1"/>
  <c r="AB9" i="4" s="1"/>
  <c r="AA9" i="4" a="1"/>
  <c r="AA9" i="4" s="1"/>
  <c r="Z9" i="4" a="1"/>
  <c r="Z9" i="4" s="1"/>
  <c r="Y9" i="4" a="1"/>
  <c r="Y9" i="4" s="1"/>
  <c r="X9" i="4" a="1"/>
  <c r="X9" i="4" s="1"/>
  <c r="W9" i="4" a="1"/>
  <c r="W9" i="4" s="1"/>
  <c r="V9" i="4" a="1"/>
  <c r="V9" i="4" s="1"/>
  <c r="U9" i="4" a="1"/>
  <c r="U9" i="4" s="1"/>
  <c r="T9" i="4" a="1"/>
  <c r="T9" i="4" s="1"/>
  <c r="S9" i="4" a="1"/>
  <c r="S9" i="4" s="1"/>
  <c r="R9" i="4" a="1"/>
  <c r="R9" i="4" s="1"/>
  <c r="Q9" i="4" a="1"/>
  <c r="Q9" i="4" s="1"/>
  <c r="P9" i="4" a="1"/>
  <c r="P9" i="4" s="1"/>
  <c r="O9" i="4"/>
  <c r="O9" i="4" a="1"/>
  <c r="N9" i="4" a="1"/>
  <c r="N9" i="4" s="1"/>
  <c r="M9" i="4" a="1"/>
  <c r="M9" i="4" s="1"/>
  <c r="L9" i="4" a="1"/>
  <c r="L9" i="4" s="1"/>
  <c r="K9" i="4" a="1"/>
  <c r="K9" i="4" s="1"/>
  <c r="J9" i="4" a="1"/>
  <c r="J9" i="4" s="1"/>
  <c r="I9" i="4" a="1"/>
  <c r="I9" i="4" s="1"/>
  <c r="H9" i="4" a="1"/>
  <c r="H9" i="4" s="1"/>
  <c r="G9" i="4" a="1"/>
  <c r="G9" i="4" s="1"/>
  <c r="F9" i="4" a="1"/>
  <c r="F9" i="4" s="1"/>
  <c r="E9" i="4" a="1"/>
  <c r="E9" i="4" s="1"/>
  <c r="D10" i="4"/>
  <c r="D9" i="4" a="1"/>
  <c r="D9" i="4" s="1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AE42" i="3"/>
  <c r="AD42" i="3"/>
  <c r="AE41" i="3"/>
  <c r="AD41" i="3"/>
  <c r="AE40" i="3"/>
  <c r="AD40" i="3"/>
  <c r="AE39" i="3"/>
  <c r="AD39" i="3"/>
  <c r="AE38" i="3"/>
  <c r="AD38" i="3"/>
  <c r="AE37" i="3"/>
  <c r="AD37" i="3"/>
  <c r="AE36" i="3"/>
  <c r="AD36" i="3"/>
  <c r="AE35" i="3"/>
  <c r="AD35" i="3"/>
  <c r="AE34" i="3"/>
  <c r="AD34" i="3"/>
  <c r="AE33" i="3"/>
  <c r="AD33" i="3"/>
  <c r="AE32" i="3"/>
  <c r="AD32" i="3"/>
  <c r="AE31" i="3"/>
  <c r="AD31" i="3"/>
  <c r="AE30" i="3"/>
  <c r="AD30" i="3"/>
  <c r="AE29" i="3"/>
  <c r="AD29" i="3"/>
  <c r="AE28" i="3"/>
  <c r="AD28" i="3"/>
  <c r="AE27" i="3"/>
  <c r="AD27" i="3"/>
  <c r="AE26" i="3"/>
  <c r="AD26" i="3"/>
  <c r="AE25" i="3"/>
  <c r="AD25" i="3"/>
  <c r="AE24" i="3"/>
  <c r="AD24" i="3"/>
  <c r="AE23" i="3"/>
  <c r="AD23" i="3"/>
  <c r="AE22" i="3"/>
  <c r="AD22" i="3"/>
  <c r="AE21" i="3"/>
  <c r="AD21" i="3"/>
  <c r="AE20" i="3"/>
  <c r="AD20" i="3"/>
  <c r="AE19" i="3"/>
  <c r="AD19" i="3"/>
  <c r="AE18" i="3"/>
  <c r="AD18" i="3"/>
  <c r="AE17" i="3"/>
  <c r="AD17" i="3"/>
  <c r="AE16" i="3"/>
  <c r="AD16" i="3"/>
  <c r="AE15" i="3"/>
  <c r="AD15" i="3"/>
  <c r="AE14" i="3"/>
  <c r="AD14" i="3"/>
  <c r="AE13" i="3"/>
  <c r="AD13" i="3"/>
  <c r="AE12" i="3"/>
  <c r="AD12" i="3"/>
  <c r="AE11" i="3"/>
  <c r="AD11" i="3"/>
  <c r="AE10" i="3"/>
  <c r="AD10" i="3"/>
  <c r="AE9" i="3"/>
  <c r="AD9" i="3"/>
  <c r="AE8" i="3"/>
  <c r="AD8" i="3"/>
  <c r="AE7" i="3"/>
  <c r="AD7" i="3"/>
  <c r="AE6" i="3"/>
  <c r="AD6" i="3"/>
  <c r="AE5" i="3"/>
  <c r="AD5" i="3"/>
  <c r="O43" i="2"/>
  <c r="N43" i="2"/>
  <c r="M43" i="2"/>
  <c r="L43" i="2"/>
  <c r="K43" i="2"/>
  <c r="O44" i="2" s="1"/>
  <c r="O45" i="2" s="1"/>
  <c r="H43" i="2"/>
  <c r="G43" i="2"/>
  <c r="F43" i="2"/>
  <c r="E43" i="2"/>
  <c r="D43" i="2"/>
  <c r="H44" i="2" s="1"/>
  <c r="H45" i="2" s="1"/>
  <c r="P42" i="2"/>
  <c r="Q42" i="2" s="1"/>
  <c r="I42" i="2"/>
  <c r="J42" i="2" s="1"/>
  <c r="Q41" i="2"/>
  <c r="P41" i="2"/>
  <c r="I41" i="2"/>
  <c r="J41" i="2" s="1"/>
  <c r="Q40" i="2"/>
  <c r="P40" i="2"/>
  <c r="I40" i="2"/>
  <c r="J40" i="2" s="1"/>
  <c r="P39" i="2"/>
  <c r="Q39" i="2" s="1"/>
  <c r="I39" i="2"/>
  <c r="J39" i="2" s="1"/>
  <c r="P38" i="2"/>
  <c r="Q38" i="2" s="1"/>
  <c r="I38" i="2"/>
  <c r="J38" i="2" s="1"/>
  <c r="P37" i="2"/>
  <c r="Q37" i="2" s="1"/>
  <c r="I37" i="2"/>
  <c r="J37" i="2" s="1"/>
  <c r="P36" i="2"/>
  <c r="Q36" i="2" s="1"/>
  <c r="I36" i="2"/>
  <c r="J36" i="2" s="1"/>
  <c r="P35" i="2"/>
  <c r="Q35" i="2" s="1"/>
  <c r="I35" i="2"/>
  <c r="J35" i="2" s="1"/>
  <c r="P34" i="2"/>
  <c r="Q34" i="2" s="1"/>
  <c r="I34" i="2"/>
  <c r="J34" i="2" s="1"/>
  <c r="P33" i="2"/>
  <c r="Q33" i="2" s="1"/>
  <c r="I33" i="2"/>
  <c r="J33" i="2" s="1"/>
  <c r="P32" i="2"/>
  <c r="Q32" i="2" s="1"/>
  <c r="I32" i="2"/>
  <c r="J32" i="2" s="1"/>
  <c r="P31" i="2"/>
  <c r="Q31" i="2" s="1"/>
  <c r="I31" i="2"/>
  <c r="J31" i="2" s="1"/>
  <c r="P30" i="2"/>
  <c r="Q30" i="2" s="1"/>
  <c r="I30" i="2"/>
  <c r="J30" i="2" s="1"/>
  <c r="P29" i="2"/>
  <c r="Q29" i="2" s="1"/>
  <c r="I29" i="2"/>
  <c r="J29" i="2" s="1"/>
  <c r="P28" i="2"/>
  <c r="Q28" i="2" s="1"/>
  <c r="I28" i="2"/>
  <c r="J28" i="2" s="1"/>
  <c r="P27" i="2"/>
  <c r="Q27" i="2" s="1"/>
  <c r="I27" i="2"/>
  <c r="J27" i="2" s="1"/>
  <c r="P26" i="2"/>
  <c r="Q26" i="2" s="1"/>
  <c r="I26" i="2"/>
  <c r="J26" i="2" s="1"/>
  <c r="P25" i="2"/>
  <c r="Q25" i="2" s="1"/>
  <c r="I25" i="2"/>
  <c r="J25" i="2" s="1"/>
  <c r="P24" i="2"/>
  <c r="Q24" i="2" s="1"/>
  <c r="I24" i="2"/>
  <c r="J24" i="2" s="1"/>
  <c r="P23" i="2"/>
  <c r="Q23" i="2" s="1"/>
  <c r="I23" i="2"/>
  <c r="J23" i="2" s="1"/>
  <c r="P22" i="2"/>
  <c r="Q22" i="2" s="1"/>
  <c r="I22" i="2"/>
  <c r="J22" i="2" s="1"/>
  <c r="P21" i="2"/>
  <c r="Q21" i="2" s="1"/>
  <c r="I21" i="2"/>
  <c r="J21" i="2" s="1"/>
  <c r="P20" i="2"/>
  <c r="Q20" i="2" s="1"/>
  <c r="I20" i="2"/>
  <c r="J20" i="2" s="1"/>
  <c r="P19" i="2"/>
  <c r="Q19" i="2" s="1"/>
  <c r="I19" i="2"/>
  <c r="J19" i="2" s="1"/>
  <c r="P18" i="2"/>
  <c r="Q18" i="2" s="1"/>
  <c r="I18" i="2"/>
  <c r="J18" i="2" s="1"/>
  <c r="P17" i="2"/>
  <c r="Q17" i="2" s="1"/>
  <c r="I17" i="2"/>
  <c r="J17" i="2" s="1"/>
  <c r="P16" i="2"/>
  <c r="Q16" i="2" s="1"/>
  <c r="I16" i="2"/>
  <c r="J16" i="2" s="1"/>
  <c r="P15" i="2"/>
  <c r="Q15" i="2" s="1"/>
  <c r="I15" i="2"/>
  <c r="J15" i="2" s="1"/>
  <c r="P14" i="2"/>
  <c r="Q14" i="2" s="1"/>
  <c r="I14" i="2"/>
  <c r="J14" i="2" s="1"/>
  <c r="P13" i="2"/>
  <c r="Q13" i="2" s="1"/>
  <c r="I13" i="2"/>
  <c r="J13" i="2" s="1"/>
  <c r="P12" i="2"/>
  <c r="Q12" i="2" s="1"/>
  <c r="I12" i="2"/>
  <c r="J12" i="2" s="1"/>
  <c r="Q11" i="2"/>
  <c r="P11" i="2"/>
  <c r="I11" i="2"/>
  <c r="J11" i="2" s="1"/>
  <c r="P10" i="2"/>
  <c r="Q10" i="2" s="1"/>
  <c r="I10" i="2"/>
  <c r="J10" i="2" s="1"/>
  <c r="P9" i="2"/>
  <c r="Q9" i="2" s="1"/>
  <c r="I9" i="2"/>
  <c r="J9" i="2" s="1"/>
  <c r="P8" i="2"/>
  <c r="Q8" i="2" s="1"/>
  <c r="I8" i="2"/>
  <c r="J8" i="2" s="1"/>
  <c r="P7" i="2"/>
  <c r="Q7" i="2" s="1"/>
  <c r="I7" i="2"/>
  <c r="J7" i="2" s="1"/>
  <c r="P6" i="2"/>
  <c r="Q6" i="2" s="1"/>
  <c r="I6" i="2"/>
  <c r="J6" i="2" s="1"/>
  <c r="P5" i="2"/>
  <c r="Q5" i="2" s="1"/>
  <c r="Q43" i="2" s="1"/>
  <c r="Q44" i="2" s="1"/>
  <c r="I5" i="2"/>
  <c r="J5" i="2" s="1"/>
  <c r="J43" i="2" s="1"/>
  <c r="J4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<sst xmlns="http://schemas.openxmlformats.org/spreadsheetml/2006/main" count="304" uniqueCount="117">
  <si>
    <t>製造部計画表</t>
    <rPh sb="0" eb="3">
      <t>セイゾウブ</t>
    </rPh>
    <rPh sb="3" eb="6">
      <t>ケイカクヒョウ</t>
    </rPh>
    <phoneticPr fontId="2"/>
  </si>
  <si>
    <t>XT</t>
    <phoneticPr fontId="2"/>
  </si>
  <si>
    <t>品番</t>
  </si>
  <si>
    <t>品目略称</t>
  </si>
  <si>
    <t>工程数</t>
    <rPh sb="0" eb="2">
      <t>コウテイ</t>
    </rPh>
    <rPh sb="2" eb="3">
      <t>スウ</t>
    </rPh>
    <phoneticPr fontId="2"/>
  </si>
  <si>
    <t>非表示頭</t>
    <rPh sb="0" eb="3">
      <t>ヒヒョウジ</t>
    </rPh>
    <rPh sb="3" eb="4">
      <t>アタマ</t>
    </rPh>
    <phoneticPr fontId="2"/>
  </si>
  <si>
    <t>非表示サイズ</t>
    <rPh sb="0" eb="3">
      <t>ヒヒョウジ</t>
    </rPh>
    <phoneticPr fontId="2"/>
  </si>
  <si>
    <t>材料</t>
    <phoneticPr fontId="2"/>
  </si>
  <si>
    <t>長さ</t>
    <phoneticPr fontId="2"/>
  </si>
  <si>
    <t>CT</t>
    <phoneticPr fontId="2"/>
  </si>
  <si>
    <t>備考</t>
    <rPh sb="0" eb="2">
      <t>ビコウ</t>
    </rPh>
    <phoneticPr fontId="2"/>
  </si>
  <si>
    <t>総計</t>
  </si>
  <si>
    <t>稼働時間</t>
    <rPh sb="0" eb="2">
      <t>カドウ</t>
    </rPh>
    <rPh sb="2" eb="4">
      <t>ジカン</t>
    </rPh>
    <phoneticPr fontId="2"/>
  </si>
  <si>
    <t>段取り回数</t>
    <rPh sb="0" eb="2">
      <t>ダンド</t>
    </rPh>
    <rPh sb="3" eb="5">
      <t>カイスウ</t>
    </rPh>
    <phoneticPr fontId="2"/>
  </si>
  <si>
    <t>生産時間
（段取り回数*30分）</t>
    <rPh sb="0" eb="2">
      <t>セイサン</t>
    </rPh>
    <rPh sb="2" eb="4">
      <t>ジカン</t>
    </rPh>
    <rPh sb="6" eb="8">
      <t>ダンド</t>
    </rPh>
    <rPh sb="9" eb="11">
      <t>カイスウ</t>
    </rPh>
    <rPh sb="14" eb="15">
      <t>フン</t>
    </rPh>
    <phoneticPr fontId="2"/>
  </si>
  <si>
    <t>object配列</t>
    <rPh sb="6" eb="8">
      <t>ハイレツ</t>
    </rPh>
    <phoneticPr fontId="2"/>
  </si>
  <si>
    <t>4676443-sample</t>
    <phoneticPr fontId="2"/>
  </si>
  <si>
    <t>ﾅｯﾄ/SSH19X10/XT</t>
  </si>
  <si>
    <t/>
  </si>
  <si>
    <t>RD379-51371-2</t>
  </si>
  <si>
    <t>13C350060X40/XT-MC</t>
  </si>
  <si>
    <t>RD859-51341-2</t>
  </si>
  <si>
    <t>○35</t>
  </si>
  <si>
    <t>340709300-1</t>
  </si>
  <si>
    <t>34X3.2X45/XT-MC-Ds</t>
  </si>
  <si>
    <t>○34</t>
  </si>
  <si>
    <t>5H773-18945-4</t>
  </si>
  <si>
    <t>13A-C34X4.5X52/XT-TN</t>
  </si>
  <si>
    <t>5H773-18953-2</t>
  </si>
  <si>
    <t>RA221-63121-2</t>
  </si>
  <si>
    <t>P/11A340032/L=42/XT</t>
  </si>
  <si>
    <t>1J771-05652-5</t>
  </si>
  <si>
    <t>13A-C272032/L=32/XT</t>
  </si>
  <si>
    <t>○27.2</t>
  </si>
  <si>
    <t>50003-51851-1-3</t>
  </si>
  <si>
    <t>P/STPG272039/L=42</t>
  </si>
  <si>
    <t>RA021-62121-7</t>
  </si>
  <si>
    <t>11A272028/L=88/XT</t>
  </si>
  <si>
    <t>RA021-62131-1</t>
  </si>
  <si>
    <t>11A27.2X2.3X50/XT</t>
  </si>
  <si>
    <t>V1311-65161-3</t>
  </si>
  <si>
    <t>11A272028/L=30/XT</t>
  </si>
  <si>
    <t>06573-00023</t>
  </si>
  <si>
    <t>P/13A-C254050L=65/XT</t>
  </si>
  <si>
    <t>○25.4</t>
  </si>
  <si>
    <t>06573-00024</t>
  </si>
  <si>
    <t>13A-C254050/L=85/XT</t>
  </si>
  <si>
    <t>06673-00069</t>
  </si>
  <si>
    <t>13A-C254050/L=50/XT</t>
  </si>
  <si>
    <t>06673-00069-K</t>
  </si>
  <si>
    <t>318544YA1C-2-D</t>
  </si>
  <si>
    <t>P/11A217023/L=41/XT</t>
  </si>
  <si>
    <t>○21.7</t>
  </si>
  <si>
    <t>RA021-62131-3</t>
  </si>
  <si>
    <t>P/11A21.7X2.8X40/XT</t>
  </si>
  <si>
    <t>260100061-6</t>
  </si>
  <si>
    <t>13A-C173032/L410.5XT</t>
  </si>
  <si>
    <t>○17.3</t>
  </si>
  <si>
    <t>1A7180-42281-10</t>
  </si>
  <si>
    <t>P/11A105020/L=48/XT</t>
  </si>
  <si>
    <t>○10.5</t>
  </si>
  <si>
    <t>A52130051</t>
  </si>
  <si>
    <t>●36X36/XT-LF</t>
  </si>
  <si>
    <t>●36</t>
  </si>
  <si>
    <t>48280-63313-3</t>
  </si>
  <si>
    <t>ﾎﾞｽ3 30*40/SGD32X40</t>
  </si>
  <si>
    <t>●32</t>
  </si>
  <si>
    <t>K2013-36911-3</t>
  </si>
  <si>
    <t>●32X28/XT</t>
  </si>
  <si>
    <t>23311-200001</t>
  </si>
  <si>
    <t>ｼﾞｮｲﾝﾄ/SS27X18/XT</t>
  </si>
  <si>
    <t>●27</t>
  </si>
  <si>
    <t>1A8044-13930</t>
  </si>
  <si>
    <t>●26X15/XT</t>
  </si>
  <si>
    <t>●26</t>
  </si>
  <si>
    <t>260100061-7</t>
  </si>
  <si>
    <t>●25X15/XT</t>
  </si>
  <si>
    <t>●25</t>
  </si>
  <si>
    <t>43780-23162-09</t>
  </si>
  <si>
    <t>●25X17.5/XT-MC</t>
  </si>
  <si>
    <t>RD411-64191-2</t>
  </si>
  <si>
    <t>●25X61/XT-TN</t>
  </si>
  <si>
    <t>RC494-62134-11</t>
  </si>
  <si>
    <t>ﾏﾙﾎﾞｳ/SGD19X114/XT</t>
  </si>
  <si>
    <t>●19</t>
  </si>
  <si>
    <t>5T150-27791-2</t>
  </si>
  <si>
    <t>●8X80/XT-LF</t>
  </si>
  <si>
    <t>●8</t>
  </si>
  <si>
    <t>148218-59090</t>
  </si>
  <si>
    <t>H30X40/XT-LF</t>
  </si>
  <si>
    <t>H30</t>
  </si>
  <si>
    <t>43551-001481</t>
  </si>
  <si>
    <t>H30X30/XT-LF</t>
  </si>
  <si>
    <t>69742L6000</t>
  </si>
  <si>
    <t>H30X31/XT-Ds</t>
  </si>
  <si>
    <t>4217036</t>
  </si>
  <si>
    <t>H24X30/XT-LF</t>
  </si>
  <si>
    <t>H24</t>
  </si>
  <si>
    <t>4217036K</t>
  </si>
  <si>
    <t>ｿｹｯﾄ/SSｶｸ24X30/XT-LF</t>
  </si>
  <si>
    <t>1E1271-48140</t>
  </si>
  <si>
    <t>H22X30/XT-Ds</t>
  </si>
  <si>
    <t>H22</t>
  </si>
  <si>
    <t>1A8060-04380</t>
  </si>
  <si>
    <t>H19X30/XT</t>
  </si>
  <si>
    <t>H19</t>
  </si>
  <si>
    <t>4343078</t>
  </si>
  <si>
    <t>H19X28/XT-Ds</t>
  </si>
  <si>
    <t>切削発注一覧　工程別促進表</t>
    <rPh sb="0" eb="2">
      <t>セッサク</t>
    </rPh>
    <rPh sb="2" eb="4">
      <t>ハッチュウ</t>
    </rPh>
    <rPh sb="4" eb="6">
      <t>イチラン</t>
    </rPh>
    <rPh sb="7" eb="9">
      <t>コウテイ</t>
    </rPh>
    <rPh sb="9" eb="10">
      <t>ベツ</t>
    </rPh>
    <rPh sb="10" eb="12">
      <t>ソクシン</t>
    </rPh>
    <rPh sb="12" eb="13">
      <t>ヒョウ</t>
    </rPh>
    <phoneticPr fontId="2"/>
  </si>
  <si>
    <t>vlook式だった</t>
    <rPh sb="5" eb="6">
      <t>シキ</t>
    </rPh>
    <phoneticPr fontId="2"/>
  </si>
  <si>
    <t>遅れ</t>
  </si>
  <si>
    <t>ｽﾄｱ</t>
    <phoneticPr fontId="2"/>
  </si>
  <si>
    <t>06573-00023-sample</t>
    <phoneticPr fontId="2"/>
  </si>
  <si>
    <t>ﾀﾅｺﾝ</t>
  </si>
  <si>
    <t>ｽﾄｱ/ﾀﾅｺﾝ</t>
  </si>
  <si>
    <t>ｽﾄｱ</t>
  </si>
  <si>
    <t>4676443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</si>
</sst>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m/d;@"/>
    <numFmt numFmtId="178" formatCode="0_);[Red]\(0\)"/>
    <numFmt numFmtId="179" formatCode="0.0_ "/>
  </numFmts>
  <fonts count="8" x14ac:knownFonts="1"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9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4"/>
      <name val="ＭＳ ゴシック"/>
      <family val="3"/>
      <charset val="128"/>
    </font>
    <font>
      <b/>
      <sz val="8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1" xfId="0" applyFont="1" applyBorder="1"/>
    <xf numFmtId="176" fontId="1" fillId="0" borderId="0" xfId="0" applyNumberFormat="1" applyFont="1" applyAlignment="1">
      <alignment horizontal="right" vertical="center"/>
    </xf>
    <xf numFmtId="0" fontId="1" fillId="0" borderId="2" xfId="0" applyFont="1" applyBorder="1"/>
    <xf numFmtId="177" fontId="1" fillId="0" borderId="3" xfId="0" quotePrefix="1" applyNumberFormat="1" applyFont="1" applyBorder="1" applyAlignment="1">
      <alignment horizontal="right"/>
    </xf>
    <xf numFmtId="177" fontId="1" fillId="0" borderId="4" xfId="0" quotePrefix="1" applyNumberFormat="1" applyFont="1" applyBorder="1" applyAlignment="1">
      <alignment horizontal="right"/>
    </xf>
    <xf numFmtId="177" fontId="1" fillId="0" borderId="5" xfId="0" quotePrefix="1" applyNumberFormat="1" applyFont="1" applyBorder="1" applyAlignment="1">
      <alignment horizontal="right"/>
    </xf>
    <xf numFmtId="0" fontId="1" fillId="0" borderId="3" xfId="0" applyFont="1" applyBorder="1"/>
    <xf numFmtId="0" fontId="1" fillId="0" borderId="5" xfId="0" applyFont="1" applyBorder="1"/>
    <xf numFmtId="49" fontId="1" fillId="0" borderId="3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6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78" fontId="1" fillId="0" borderId="3" xfId="0" applyNumberFormat="1" applyFont="1" applyBorder="1"/>
    <xf numFmtId="176" fontId="1" fillId="0" borderId="5" xfId="0" applyNumberFormat="1" applyFont="1" applyBorder="1"/>
    <xf numFmtId="0" fontId="1" fillId="0" borderId="6" xfId="0" applyFont="1" applyBorder="1"/>
    <xf numFmtId="0" fontId="5" fillId="0" borderId="7" xfId="0" applyFont="1" applyBorder="1"/>
    <xf numFmtId="178" fontId="1" fillId="0" borderId="0" xfId="0" applyNumberFormat="1" applyFont="1"/>
    <xf numFmtId="176" fontId="1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176" fontId="1" fillId="0" borderId="8" xfId="0" applyNumberFormat="1" applyFont="1" applyBorder="1" applyAlignment="1">
      <alignment horizontal="right"/>
    </xf>
    <xf numFmtId="176" fontId="1" fillId="0" borderId="8" xfId="0" applyNumberFormat="1" applyFont="1" applyBorder="1"/>
    <xf numFmtId="0" fontId="0" fillId="0" borderId="9" xfId="0" applyBorder="1"/>
    <xf numFmtId="0" fontId="5" fillId="0" borderId="2" xfId="0" applyFont="1" applyBorder="1"/>
    <xf numFmtId="177" fontId="1" fillId="0" borderId="10" xfId="0" quotePrefix="1" applyNumberFormat="1" applyFont="1" applyBorder="1" applyAlignment="1">
      <alignment horizontal="right"/>
    </xf>
    <xf numFmtId="0" fontId="0" fillId="0" borderId="10" xfId="0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vertical="center"/>
    </xf>
    <xf numFmtId="0" fontId="0" fillId="0" borderId="11" xfId="0" applyBorder="1"/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179" fontId="1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7" fillId="0" borderId="0" xfId="0" applyFont="1"/>
    <xf numFmtId="49" fontId="3" fillId="0" borderId="0" xfId="0" applyNumberFormat="1" applyFont="1"/>
    <xf numFmtId="49" fontId="4" fillId="0" borderId="0" xfId="0" applyNumberFormat="1" applyFont="1"/>
    <xf numFmtId="49" fontId="1" fillId="0" borderId="2" xfId="0" applyNumberFormat="1" applyFont="1" applyBorder="1"/>
    <xf numFmtId="49" fontId="0" fillId="0" borderId="2" xfId="0" applyNumberFormat="1" applyBorder="1"/>
    <xf numFmtId="49" fontId="0" fillId="0" borderId="11" xfId="0" applyNumberFormat="1" applyBorder="1"/>
    <xf numFmtId="49" fontId="0" fillId="0" borderId="2" xfId="0" applyNumberForma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1" fillId="0" borderId="0" xfId="0" applyNumberFormat="1" applyFont="1"/>
  </cellXfs>
  <cellStyles count="1">
    <cellStyle name="標準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D23D-E3D9-423A-A50E-C5FA366942A7}">
  <sheetPr>
    <tabColor rgb="FFFF0000"/>
  </sheetPr>
  <dimension ref="A1:AI10"/>
  <sheetViews>
    <sheetView showZeros="0" tabSelected="1" zoomScaleNormal="100" zoomScaleSheetLayoutView="100" workbookViewId="0"/>
  </sheetViews>
  <sheetFormatPr defaultRowHeight="12" x14ac:dyDescent="0.15"/>
  <cols>
    <col min="1" max="1" width="3.28515625" style="1" customWidth="1"/>
    <col min="2" max="2" width="20.7109375" style="74" customWidth="1"/>
    <col min="3" max="3" width="26.7109375" style="7" customWidth="1"/>
    <col min="4" max="28" width="5.140625" style="3" customWidth="1"/>
    <col min="29" max="29" width="4.7109375" customWidth="1"/>
    <col min="30" max="31" width="4.7109375" hidden="1" customWidth="1"/>
    <col min="32" max="33" width="6.7109375" style="5" customWidth="1"/>
    <col min="34" max="34" width="4.7109375" customWidth="1"/>
    <col min="35" max="35" width="22.42578125" style="1" customWidth="1"/>
    <col min="36" max="36" width="2.7109375" customWidth="1"/>
  </cols>
  <sheetData>
    <row r="1" spans="1:35" ht="10.5" customHeight="1" x14ac:dyDescent="0.15">
      <c r="B1" s="67" t="s">
        <v>0</v>
      </c>
      <c r="AC1" s="5"/>
      <c r="AD1" s="5"/>
      <c r="AE1" s="5"/>
      <c r="AH1" s="5"/>
      <c r="AI1" s="2"/>
    </row>
    <row r="2" spans="1:35" ht="10.5" customHeight="1" x14ac:dyDescent="0.15">
      <c r="B2" s="67"/>
      <c r="AC2" s="5"/>
      <c r="AD2" s="5"/>
      <c r="AE2" s="5"/>
      <c r="AH2" s="5"/>
      <c r="AI2" s="2"/>
    </row>
    <row r="3" spans="1:35" ht="16.149999999999999" customHeight="1" x14ac:dyDescent="0.15">
      <c r="B3" s="68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5"/>
      <c r="AD3" s="5"/>
      <c r="AE3" s="5"/>
      <c r="AH3" s="5"/>
      <c r="AI3" s="6"/>
    </row>
    <row r="4" spans="1:35" s="1" customFormat="1" ht="10.5" x14ac:dyDescent="0.15">
      <c r="B4" s="69" t="s">
        <v>2</v>
      </c>
      <c r="C4" s="10" t="s">
        <v>3</v>
      </c>
      <c r="D4" s="11">
        <v>46174</v>
      </c>
      <c r="E4" s="12">
        <v>46175</v>
      </c>
      <c r="F4" s="12">
        <v>46176</v>
      </c>
      <c r="G4" s="12">
        <v>46177</v>
      </c>
      <c r="H4" s="13">
        <v>46178</v>
      </c>
      <c r="I4" s="11">
        <v>46181</v>
      </c>
      <c r="J4" s="12">
        <v>46182</v>
      </c>
      <c r="K4" s="12">
        <v>46183</v>
      </c>
      <c r="L4" s="12">
        <v>46184</v>
      </c>
      <c r="M4" s="13">
        <v>46185</v>
      </c>
      <c r="N4" s="11">
        <v>46188</v>
      </c>
      <c r="O4" s="12">
        <v>46189</v>
      </c>
      <c r="P4" s="12">
        <v>46190</v>
      </c>
      <c r="Q4" s="12">
        <v>46191</v>
      </c>
      <c r="R4" s="13">
        <v>46192</v>
      </c>
      <c r="S4" s="11">
        <v>46195</v>
      </c>
      <c r="T4" s="12">
        <v>46196</v>
      </c>
      <c r="U4" s="12">
        <v>46197</v>
      </c>
      <c r="V4" s="12">
        <v>46198</v>
      </c>
      <c r="W4" s="13">
        <v>46199</v>
      </c>
      <c r="X4" s="11">
        <v>46202</v>
      </c>
      <c r="Y4" s="35">
        <v>46203</v>
      </c>
      <c r="Z4" s="35">
        <v>46204</v>
      </c>
      <c r="AA4" s="12">
        <v>46205</v>
      </c>
      <c r="AB4" s="12">
        <v>46206</v>
      </c>
      <c r="AC4" s="43" t="s">
        <v>4</v>
      </c>
      <c r="AD4" s="43" t="s">
        <v>5</v>
      </c>
      <c r="AE4" s="43" t="s">
        <v>6</v>
      </c>
      <c r="AF4" s="42" t="s">
        <v>7</v>
      </c>
      <c r="AG4" s="42" t="s">
        <v>8</v>
      </c>
      <c r="AH4" s="42" t="s">
        <v>9</v>
      </c>
      <c r="AI4" s="41" t="s">
        <v>10</v>
      </c>
    </row>
    <row r="5" spans="1:35" ht="15.75" customHeight="1" x14ac:dyDescent="0.15">
      <c r="A5" s="1">
        <v>1</v>
      </c>
      <c r="B5" s="70"/>
      <c r="C5" s="20"/>
      <c r="D5" s="21"/>
      <c r="E5" s="22"/>
      <c r="F5" s="22"/>
      <c r="G5" s="22"/>
      <c r="H5" s="23"/>
      <c r="I5" s="21"/>
      <c r="J5" s="22"/>
      <c r="K5" s="22"/>
      <c r="L5" s="22"/>
      <c r="M5" s="23"/>
      <c r="N5" s="21"/>
      <c r="O5" s="22"/>
      <c r="P5" s="22"/>
      <c r="Q5" s="22"/>
      <c r="R5" s="23"/>
      <c r="S5" s="21"/>
      <c r="T5" s="22"/>
      <c r="U5" s="22"/>
      <c r="V5" s="22"/>
      <c r="W5" s="23"/>
      <c r="X5" s="21"/>
      <c r="Y5" s="36"/>
      <c r="Z5" s="36"/>
      <c r="AA5" s="22"/>
      <c r="AB5" s="22"/>
      <c r="AC5" s="49"/>
      <c r="AD5" s="49"/>
      <c r="AE5" s="64"/>
      <c r="AF5" s="50"/>
      <c r="AG5" s="49"/>
      <c r="AH5" s="38"/>
      <c r="AI5" s="34"/>
    </row>
    <row r="6" spans="1:35" ht="15.75" customHeight="1" x14ac:dyDescent="0.15">
      <c r="B6" s="70"/>
      <c r="C6" s="20"/>
      <c r="D6" s="21"/>
      <c r="E6" s="22"/>
      <c r="F6" s="22"/>
      <c r="G6" s="22"/>
      <c r="H6" s="23"/>
      <c r="I6" s="21"/>
      <c r="J6" s="22"/>
      <c r="K6" s="22"/>
      <c r="L6" s="22"/>
      <c r="M6" s="23"/>
      <c r="N6" s="21"/>
      <c r="O6" s="22"/>
      <c r="P6" s="22"/>
      <c r="Q6" s="22"/>
      <c r="R6" s="23"/>
      <c r="S6" s="21"/>
      <c r="T6" s="22"/>
      <c r="U6" s="22"/>
      <c r="V6" s="22"/>
      <c r="W6" s="23"/>
      <c r="X6" s="21"/>
      <c r="Y6" s="36"/>
      <c r="Z6" s="36"/>
      <c r="AA6" s="22"/>
      <c r="AB6" s="22"/>
      <c r="AC6" s="49"/>
      <c r="AD6" s="49"/>
      <c r="AE6" s="64"/>
      <c r="AF6" s="50"/>
      <c r="AG6" s="49"/>
      <c r="AH6" s="38"/>
      <c r="AI6" s="34"/>
    </row>
    <row r="7" spans="1:35" ht="6" customHeight="1" x14ac:dyDescent="0.15">
      <c r="B7" s="71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53"/>
      <c r="AD7" s="53"/>
      <c r="AE7" s="53"/>
      <c r="AF7" s="54"/>
      <c r="AG7" s="53"/>
      <c r="AH7" s="3"/>
      <c r="AI7" s="7"/>
    </row>
    <row r="8" spans="1:35" s="45" customFormat="1" ht="15.75" customHeight="1" x14ac:dyDescent="0.15">
      <c r="A8" s="44"/>
      <c r="B8" s="72" t="s">
        <v>11</v>
      </c>
      <c r="C8" s="40" t="s">
        <v>12</v>
      </c>
      <c r="D8" s="55">
        <f t="shared" ref="D8:AB8" si="0">ROUND(SUMPRODUCT($AH5:$AH6,D5:D6)/3600,1)</f>
        <v>0</v>
      </c>
      <c r="E8" s="56">
        <f t="shared" si="0"/>
        <v>0</v>
      </c>
      <c r="F8" s="56">
        <f t="shared" si="0"/>
        <v>0</v>
      </c>
      <c r="G8" s="56">
        <f t="shared" si="0"/>
        <v>0</v>
      </c>
      <c r="H8" s="57">
        <f t="shared" si="0"/>
        <v>0</v>
      </c>
      <c r="I8" s="55">
        <f t="shared" si="0"/>
        <v>0</v>
      </c>
      <c r="J8" s="56">
        <f t="shared" si="0"/>
        <v>0</v>
      </c>
      <c r="K8" s="56">
        <f t="shared" si="0"/>
        <v>0</v>
      </c>
      <c r="L8" s="56">
        <f t="shared" si="0"/>
        <v>0</v>
      </c>
      <c r="M8" s="57">
        <f t="shared" si="0"/>
        <v>0</v>
      </c>
      <c r="N8" s="55">
        <f t="shared" si="0"/>
        <v>0</v>
      </c>
      <c r="O8" s="56">
        <f t="shared" si="0"/>
        <v>0</v>
      </c>
      <c r="P8" s="56">
        <f t="shared" si="0"/>
        <v>0</v>
      </c>
      <c r="Q8" s="56">
        <f t="shared" si="0"/>
        <v>0</v>
      </c>
      <c r="R8" s="57">
        <f t="shared" si="0"/>
        <v>0</v>
      </c>
      <c r="S8" s="55">
        <f t="shared" si="0"/>
        <v>0</v>
      </c>
      <c r="T8" s="56">
        <f t="shared" si="0"/>
        <v>0</v>
      </c>
      <c r="U8" s="56">
        <f t="shared" si="0"/>
        <v>0</v>
      </c>
      <c r="V8" s="56">
        <f t="shared" si="0"/>
        <v>0</v>
      </c>
      <c r="W8" s="57">
        <f t="shared" si="0"/>
        <v>0</v>
      </c>
      <c r="X8" s="55">
        <f t="shared" si="0"/>
        <v>0</v>
      </c>
      <c r="Y8" s="56">
        <f t="shared" si="0"/>
        <v>0</v>
      </c>
      <c r="Z8" s="56">
        <f t="shared" si="0"/>
        <v>0</v>
      </c>
      <c r="AA8" s="56">
        <f t="shared" si="0"/>
        <v>0</v>
      </c>
      <c r="AB8" s="57">
        <f t="shared" si="0"/>
        <v>0</v>
      </c>
      <c r="AC8" s="46"/>
      <c r="AD8" s="46"/>
      <c r="AE8" s="46"/>
      <c r="AH8" s="46"/>
      <c r="AI8" s="47"/>
    </row>
    <row r="9" spans="1:35" s="45" customFormat="1" ht="15.75" customHeight="1" x14ac:dyDescent="0.15">
      <c r="A9" s="44"/>
      <c r="B9" s="73"/>
      <c r="C9" s="40" t="s">
        <v>13</v>
      </c>
      <c r="D9" s="58" t="str" cm="1">
        <f t="array" ref="D9">IF(COUNTA(D5:D6)=0,"",COUNTA(_xlfn.UNIQUE(_xlfn._xlws.FILTER($AF5:$AF6,D5:D6&lt;&gt;""))))</f>
        <v/>
      </c>
      <c r="E9" s="59" t="str" cm="1">
        <f t="array" ref="E9">IF(COUNTA(E5:E6)=0,"",COUNTA(_xlfn.UNIQUE(_xlfn._xlws.FILTER($AF5:$AF6,E5:E6&lt;&gt;""))))</f>
        <v/>
      </c>
      <c r="F9" s="59" t="str" cm="1">
        <f t="array" ref="F9">IF(COUNTA(F5:F6)=0,"",COUNTA(_xlfn.UNIQUE(_xlfn._xlws.FILTER($AF5:$AF6,F5:F6&lt;&gt;""))))</f>
        <v/>
      </c>
      <c r="G9" s="59" t="str" cm="1">
        <f t="array" ref="G9">IF(COUNTA(G5:G6)=0,"",COUNTA(_xlfn.UNIQUE(_xlfn._xlws.FILTER($AF5:$AF6,G5:G6&lt;&gt;""))))</f>
        <v/>
      </c>
      <c r="H9" s="57" t="str" cm="1">
        <f t="array" ref="H9">IF(COUNTA(H5:H6)=0,"",COUNTA(_xlfn.UNIQUE(_xlfn._xlws.FILTER($AF5:$AF6,H5:H6&lt;&gt;""))))</f>
        <v/>
      </c>
      <c r="I9" s="58" t="str" cm="1">
        <f t="array" ref="I9">IF(COUNTA(I5:I6)=0,"",COUNTA(_xlfn.UNIQUE(_xlfn._xlws.FILTER($AF5:$AF6,I5:I6&lt;&gt;""))))</f>
        <v/>
      </c>
      <c r="J9" s="59" t="str" cm="1">
        <f t="array" ref="J9">IF(COUNTA(J5:J6)=0,"",COUNTA(_xlfn.UNIQUE(_xlfn._xlws.FILTER($AF5:$AF6,J5:J6&lt;&gt;""))))</f>
        <v/>
      </c>
      <c r="K9" s="59" t="str" cm="1">
        <f t="array" ref="K9">IF(COUNTA(K5:K6)=0,"",COUNTA(_xlfn.UNIQUE(_xlfn._xlws.FILTER($AF5:$AF6,K5:K6&lt;&gt;""))))</f>
        <v/>
      </c>
      <c r="L9" s="59" t="str" cm="1">
        <f t="array" ref="L9">IF(COUNTA(L5:L6)=0,"",COUNTA(_xlfn.UNIQUE(_xlfn._xlws.FILTER($AF5:$AF6,L5:L6&lt;&gt;""))))</f>
        <v/>
      </c>
      <c r="M9" s="57" t="str" cm="1">
        <f t="array" ref="M9">IF(COUNTA(M5:M6)=0,"",COUNTA(_xlfn.UNIQUE(_xlfn._xlws.FILTER($AF5:$AF6,M5:M6&lt;&gt;""))))</f>
        <v/>
      </c>
      <c r="N9" s="58" t="str" cm="1">
        <f t="array" ref="N9">IF(COUNTA(N5:N6)=0,"",COUNTA(_xlfn.UNIQUE(_xlfn._xlws.FILTER($AF5:$AF6,N5:N6&lt;&gt;""))))</f>
        <v/>
      </c>
      <c r="O9" s="59" t="str" cm="1">
        <f t="array" ref="O9">IF(COUNTA(O5:O6)=0,"",COUNTA(_xlfn.UNIQUE(_xlfn._xlws.FILTER($AF5:$AF6,O5:O6&lt;&gt;""))))</f>
        <v/>
      </c>
      <c r="P9" s="59" t="str" cm="1">
        <f t="array" ref="P9">IF(COUNTA(P5:P6)=0,"",COUNTA(_xlfn.UNIQUE(_xlfn._xlws.FILTER($AF5:$AF6,P5:P6&lt;&gt;""))))</f>
        <v/>
      </c>
      <c r="Q9" s="59" t="str" cm="1">
        <f t="array" ref="Q9">IF(COUNTA(Q5:Q6)=0,"",COUNTA(_xlfn.UNIQUE(_xlfn._xlws.FILTER($AF5:$AF6,Q5:Q6&lt;&gt;""))))</f>
        <v/>
      </c>
      <c r="R9" s="57" t="str" cm="1">
        <f t="array" ref="R9">IF(COUNTA(R5:R6)=0,"",COUNTA(_xlfn.UNIQUE(_xlfn._xlws.FILTER($AF5:$AF6,R5:R6&lt;&gt;""))))</f>
        <v/>
      </c>
      <c r="S9" s="58" t="str" cm="1">
        <f t="array" ref="S9">IF(COUNTA(S5:S6)=0,"",COUNTA(_xlfn.UNIQUE(_xlfn._xlws.FILTER($AF5:$AF6,S5:S6&lt;&gt;""))))</f>
        <v/>
      </c>
      <c r="T9" s="59" t="str" cm="1">
        <f t="array" ref="T9">IF(COUNTA(T5:T6)=0,"",COUNTA(_xlfn.UNIQUE(_xlfn._xlws.FILTER($AF5:$AF6,T5:T6&lt;&gt;""))))</f>
        <v/>
      </c>
      <c r="U9" s="59" t="str" cm="1">
        <f t="array" ref="U9">IF(COUNTA(U5:U6)=0,"",COUNTA(_xlfn.UNIQUE(_xlfn._xlws.FILTER($AF5:$AF6,U5:U6&lt;&gt;""))))</f>
        <v/>
      </c>
      <c r="V9" s="59" t="str" cm="1">
        <f t="array" ref="V9">IF(COUNTA(V5:V6)=0,"",COUNTA(_xlfn.UNIQUE(_xlfn._xlws.FILTER($AF5:$AF6,V5:V6&lt;&gt;""))))</f>
        <v/>
      </c>
      <c r="W9" s="57" t="str" cm="1">
        <f t="array" ref="W9">IF(COUNTA(W5:W6)=0,"",COUNTA(_xlfn.UNIQUE(_xlfn._xlws.FILTER($AF5:$AF6,W5:W6&lt;&gt;""))))</f>
        <v/>
      </c>
      <c r="X9" s="58" t="str" cm="1">
        <f t="array" ref="X9">IF(COUNTA(X5:X6)=0,"",COUNTA(_xlfn.UNIQUE(_xlfn._xlws.FILTER($AF5:$AF6,X5:X6&lt;&gt;""))))</f>
        <v/>
      </c>
      <c r="Y9" s="59" t="str" cm="1">
        <f t="array" ref="Y9">IF(COUNTA(Y5:Y6)=0,"",COUNTA(_xlfn.UNIQUE(_xlfn._xlws.FILTER($AF5:$AF6,Y5:Y6&lt;&gt;""))))</f>
        <v/>
      </c>
      <c r="Z9" s="59" t="str" cm="1">
        <f t="array" ref="Z9">IF(COUNTA(Z5:Z6)=0,"",COUNTA(_xlfn.UNIQUE(_xlfn._xlws.FILTER($AF5:$AF6,Z5:Z6&lt;&gt;""))))</f>
        <v/>
      </c>
      <c r="AA9" s="59" t="str" cm="1">
        <f t="array" ref="AA9">IF(COUNTA(AA5:AA6)=0,"",COUNTA(_xlfn.UNIQUE(_xlfn._xlws.FILTER($AF5:$AF6,AA5:AA6&lt;&gt;""))))</f>
        <v/>
      </c>
      <c r="AB9" s="60" t="str" cm="1">
        <f t="array" ref="AB9">IF(COUNTA(AB5:AB6)=0,"",COUNTA(_xlfn.UNIQUE(_xlfn._xlws.FILTER($AF5:$AF6,AB5:AB6&lt;&gt;""))))</f>
        <v/>
      </c>
      <c r="AC9" s="46"/>
      <c r="AD9" s="46"/>
      <c r="AE9" s="46"/>
      <c r="AF9" s="48"/>
      <c r="AH9" s="46"/>
      <c r="AI9" s="44"/>
    </row>
    <row r="10" spans="1:35" ht="21" x14ac:dyDescent="0.15">
      <c r="C10" s="39" t="s">
        <v>14</v>
      </c>
      <c r="D10" s="61" t="str">
        <f>IF(COUNTA(D5:D6)=0,"",D8+(D9*0.5))</f>
        <v/>
      </c>
      <c r="E10" s="62" t="str">
        <f t="shared" ref="E10:AB10" si="1">IF(COUNTA(E5:E6)=0,"",E8+(E9*0.5))</f>
        <v/>
      </c>
      <c r="F10" s="62" t="str">
        <f t="shared" si="1"/>
        <v/>
      </c>
      <c r="G10" s="62" t="str">
        <f t="shared" si="1"/>
        <v/>
      </c>
      <c r="H10" s="63" t="str">
        <f t="shared" si="1"/>
        <v/>
      </c>
      <c r="I10" s="61" t="str">
        <f t="shared" si="1"/>
        <v/>
      </c>
      <c r="J10" s="62" t="str">
        <f t="shared" si="1"/>
        <v/>
      </c>
      <c r="K10" s="62" t="str">
        <f t="shared" si="1"/>
        <v/>
      </c>
      <c r="L10" s="62" t="str">
        <f t="shared" si="1"/>
        <v/>
      </c>
      <c r="M10" s="63" t="str">
        <f t="shared" si="1"/>
        <v/>
      </c>
      <c r="N10" s="61" t="str">
        <f t="shared" si="1"/>
        <v/>
      </c>
      <c r="O10" s="62" t="str">
        <f t="shared" si="1"/>
        <v/>
      </c>
      <c r="P10" s="62" t="str">
        <f t="shared" si="1"/>
        <v/>
      </c>
      <c r="Q10" s="62" t="str">
        <f t="shared" si="1"/>
        <v/>
      </c>
      <c r="R10" s="63" t="str">
        <f t="shared" si="1"/>
        <v/>
      </c>
      <c r="S10" s="61" t="str">
        <f t="shared" si="1"/>
        <v/>
      </c>
      <c r="T10" s="62" t="str">
        <f t="shared" si="1"/>
        <v/>
      </c>
      <c r="U10" s="62" t="str">
        <f t="shared" si="1"/>
        <v/>
      </c>
      <c r="V10" s="62" t="str">
        <f t="shared" si="1"/>
        <v/>
      </c>
      <c r="W10" s="63" t="str">
        <f t="shared" si="1"/>
        <v/>
      </c>
      <c r="X10" s="61" t="str">
        <f t="shared" si="1"/>
        <v/>
      </c>
      <c r="Y10" s="62" t="str">
        <f t="shared" si="1"/>
        <v/>
      </c>
      <c r="Z10" s="62" t="str">
        <f t="shared" si="1"/>
        <v/>
      </c>
      <c r="AA10" s="62" t="str">
        <f t="shared" si="1"/>
        <v/>
      </c>
      <c r="AB10" s="63" t="str">
        <f t="shared" si="1"/>
        <v/>
      </c>
      <c r="AF10" s="37"/>
    </row>
  </sheetData>
  <phoneticPr fontId="2"/>
  <conditionalFormatting sqref="AC1:AH65476">
    <cfRule type="cellIs" dxfId="3" priority="1" stopIfTrue="1" operator="equal">
      <formula>0</formula>
    </cfRule>
  </conditionalFormatting>
  <pageMargins left="0.23622047244094491" right="0.23622047244094491" top="0.55118110236220474" bottom="0.15748031496062992" header="0.31496062992125984" footer="0.31496062992125984"/>
  <pageSetup paperSize="8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AA4D-E700-4AA3-B170-70D55B8F803D}">
  <sheetPr>
    <tabColor rgb="FFFF0000"/>
  </sheetPr>
  <dimension ref="A1:AI46"/>
  <sheetViews>
    <sheetView showZeros="0" zoomScaleNormal="100" zoomScaleSheetLayoutView="100" workbookViewId="0"/>
  </sheetViews>
  <sheetFormatPr defaultRowHeight="12" x14ac:dyDescent="0.15"/>
  <cols>
    <col min="1" max="1" width="3.28515625" style="1" customWidth="1"/>
    <col min="2" max="2" width="20.7109375" style="1" customWidth="1"/>
    <col min="3" max="3" width="26.7109375" style="7" customWidth="1"/>
    <col min="4" max="28" width="5.140625" style="3" customWidth="1"/>
    <col min="29" max="29" width="4.7109375" customWidth="1"/>
    <col min="30" max="31" width="4.7109375" hidden="1" customWidth="1"/>
    <col min="32" max="33" width="6.7109375" style="5" customWidth="1"/>
    <col min="34" max="34" width="4.7109375" customWidth="1"/>
    <col min="35" max="35" width="22.42578125" style="1" customWidth="1"/>
    <col min="36" max="36" width="2.7109375" customWidth="1"/>
  </cols>
  <sheetData>
    <row r="1" spans="1:35" ht="10.5" customHeight="1" x14ac:dyDescent="0.15">
      <c r="A1" s="1">
        <v>1</v>
      </c>
      <c r="B1" s="2" t="s">
        <v>0</v>
      </c>
      <c r="C1" s="7">
        <v>3</v>
      </c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U1" s="3">
        <v>21</v>
      </c>
      <c r="V1" s="3">
        <v>22</v>
      </c>
      <c r="W1" s="3">
        <v>23</v>
      </c>
      <c r="X1" s="3">
        <v>24</v>
      </c>
      <c r="Y1" s="3">
        <v>25</v>
      </c>
      <c r="Z1" s="3">
        <v>26</v>
      </c>
      <c r="AA1" s="3">
        <v>27</v>
      </c>
      <c r="AB1" s="3">
        <v>28</v>
      </c>
      <c r="AC1" s="3">
        <v>29</v>
      </c>
      <c r="AD1" s="3">
        <v>30</v>
      </c>
      <c r="AE1" s="3">
        <v>31</v>
      </c>
      <c r="AF1" s="3">
        <v>32</v>
      </c>
      <c r="AG1" s="3">
        <v>33</v>
      </c>
      <c r="AH1" s="3">
        <v>34</v>
      </c>
      <c r="AI1" s="3">
        <v>35</v>
      </c>
    </row>
    <row r="2" spans="1:35" ht="10.5" customHeight="1" x14ac:dyDescent="0.15">
      <c r="A2" s="1">
        <v>0</v>
      </c>
      <c r="B2" s="66" t="s">
        <v>15</v>
      </c>
      <c r="C2" s="1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  <c r="AG2" s="3">
        <v>32</v>
      </c>
      <c r="AH2" s="3">
        <v>33</v>
      </c>
      <c r="AI2" s="3">
        <v>34</v>
      </c>
    </row>
    <row r="3" spans="1:35" ht="16.149999999999999" customHeight="1" x14ac:dyDescent="0.15">
      <c r="B3" s="6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5"/>
      <c r="AD3" s="5"/>
      <c r="AE3" s="5"/>
      <c r="AH3" s="5"/>
      <c r="AI3" s="6"/>
    </row>
    <row r="4" spans="1:35" s="1" customFormat="1" ht="10.5" x14ac:dyDescent="0.15">
      <c r="B4" s="10" t="s">
        <v>2</v>
      </c>
      <c r="C4" s="10" t="s">
        <v>3</v>
      </c>
      <c r="D4" s="11">
        <v>46174</v>
      </c>
      <c r="E4" s="12">
        <v>46175</v>
      </c>
      <c r="F4" s="12">
        <v>46176</v>
      </c>
      <c r="G4" s="12">
        <v>46177</v>
      </c>
      <c r="H4" s="13">
        <v>46178</v>
      </c>
      <c r="I4" s="11">
        <v>46181</v>
      </c>
      <c r="J4" s="12">
        <v>46182</v>
      </c>
      <c r="K4" s="12">
        <v>46183</v>
      </c>
      <c r="L4" s="12">
        <v>46184</v>
      </c>
      <c r="M4" s="13">
        <v>46185</v>
      </c>
      <c r="N4" s="11">
        <v>46188</v>
      </c>
      <c r="O4" s="12">
        <v>46189</v>
      </c>
      <c r="P4" s="12">
        <v>46190</v>
      </c>
      <c r="Q4" s="12">
        <v>46191</v>
      </c>
      <c r="R4" s="13">
        <v>46192</v>
      </c>
      <c r="S4" s="11">
        <v>46195</v>
      </c>
      <c r="T4" s="12">
        <v>46196</v>
      </c>
      <c r="U4" s="12">
        <v>46197</v>
      </c>
      <c r="V4" s="12">
        <v>46198</v>
      </c>
      <c r="W4" s="13">
        <v>46199</v>
      </c>
      <c r="X4" s="11">
        <v>46202</v>
      </c>
      <c r="Y4" s="35">
        <v>46203</v>
      </c>
      <c r="Z4" s="35">
        <v>46204</v>
      </c>
      <c r="AA4" s="12">
        <v>46205</v>
      </c>
      <c r="AB4" s="12">
        <v>46206</v>
      </c>
      <c r="AC4" s="43" t="s">
        <v>4</v>
      </c>
      <c r="AD4" s="43" t="s">
        <v>5</v>
      </c>
      <c r="AE4" s="43" t="s">
        <v>6</v>
      </c>
      <c r="AF4" s="42" t="s">
        <v>7</v>
      </c>
      <c r="AG4" s="42" t="s">
        <v>8</v>
      </c>
      <c r="AH4" s="42" t="s">
        <v>9</v>
      </c>
      <c r="AI4" s="41" t="s">
        <v>10</v>
      </c>
    </row>
    <row r="5" spans="1:35" ht="15.75" customHeight="1" x14ac:dyDescent="0.15">
      <c r="A5" s="1">
        <v>1</v>
      </c>
      <c r="B5" s="20" t="s">
        <v>16</v>
      </c>
      <c r="C5" s="20" t="s">
        <v>17</v>
      </c>
      <c r="D5" s="21"/>
      <c r="E5" s="22"/>
      <c r="F5" s="22"/>
      <c r="G5" s="22"/>
      <c r="H5" s="23">
        <v>8</v>
      </c>
      <c r="I5" s="21"/>
      <c r="J5" s="22"/>
      <c r="K5" s="22">
        <v>8</v>
      </c>
      <c r="L5" s="22"/>
      <c r="M5" s="23"/>
      <c r="N5" s="21"/>
      <c r="O5" s="22"/>
      <c r="P5" s="22">
        <v>8</v>
      </c>
      <c r="Q5" s="22"/>
      <c r="R5" s="23"/>
      <c r="S5" s="21"/>
      <c r="T5" s="22"/>
      <c r="U5" s="22">
        <v>8</v>
      </c>
      <c r="V5" s="22"/>
      <c r="W5" s="23"/>
      <c r="X5" s="21"/>
      <c r="Y5" s="36"/>
      <c r="Z5" s="36"/>
      <c r="AA5" s="22"/>
      <c r="AB5" s="22">
        <v>8</v>
      </c>
      <c r="AC5" s="49">
        <v>2</v>
      </c>
      <c r="AD5" s="49" t="str">
        <f t="shared" ref="AD5:AD42" si="0">LEFT(AF5,1)</f>
        <v/>
      </c>
      <c r="AE5" s="64" t="str">
        <f t="shared" ref="AE5:AE42" si="1">MID(AF5,2,5)</f>
        <v/>
      </c>
      <c r="AF5" s="50" t="s">
        <v>18</v>
      </c>
      <c r="AG5" s="49">
        <v>0</v>
      </c>
      <c r="AH5" s="38">
        <v>80</v>
      </c>
      <c r="AI5" s="34"/>
    </row>
    <row r="6" spans="1:35" ht="15.75" customHeight="1" x14ac:dyDescent="0.15">
      <c r="A6" s="1">
        <v>2</v>
      </c>
      <c r="B6" s="20" t="s">
        <v>19</v>
      </c>
      <c r="C6" s="20" t="s">
        <v>20</v>
      </c>
      <c r="D6" s="21"/>
      <c r="E6" s="22"/>
      <c r="F6" s="22"/>
      <c r="G6" s="22">
        <v>47</v>
      </c>
      <c r="H6" s="23"/>
      <c r="I6" s="21"/>
      <c r="J6" s="22"/>
      <c r="K6" s="22"/>
      <c r="L6" s="22"/>
      <c r="M6" s="23"/>
      <c r="N6" s="21"/>
      <c r="O6" s="22"/>
      <c r="P6" s="22"/>
      <c r="Q6" s="22"/>
      <c r="R6" s="23"/>
      <c r="S6" s="21"/>
      <c r="T6" s="22"/>
      <c r="U6" s="22"/>
      <c r="V6" s="22"/>
      <c r="W6" s="23"/>
      <c r="X6" s="21"/>
      <c r="Y6" s="36"/>
      <c r="Z6" s="36"/>
      <c r="AA6" s="22"/>
      <c r="AB6" s="22"/>
      <c r="AC6" s="49">
        <v>4</v>
      </c>
      <c r="AD6" s="49" t="str">
        <f t="shared" si="0"/>
        <v/>
      </c>
      <c r="AE6" s="64" t="str">
        <f t="shared" si="1"/>
        <v/>
      </c>
      <c r="AF6" s="50" t="s">
        <v>18</v>
      </c>
      <c r="AG6" s="49">
        <v>0</v>
      </c>
      <c r="AH6" s="38">
        <v>150</v>
      </c>
      <c r="AI6" s="34"/>
    </row>
    <row r="7" spans="1:35" ht="15.75" customHeight="1" x14ac:dyDescent="0.15">
      <c r="A7" s="1">
        <v>3</v>
      </c>
      <c r="B7" s="20" t="s">
        <v>21</v>
      </c>
      <c r="C7" s="20" t="s">
        <v>20</v>
      </c>
      <c r="D7" s="21"/>
      <c r="E7" s="22"/>
      <c r="F7" s="22"/>
      <c r="G7" s="22"/>
      <c r="H7" s="23">
        <v>7</v>
      </c>
      <c r="I7" s="21">
        <v>10</v>
      </c>
      <c r="J7" s="22"/>
      <c r="K7" s="22"/>
      <c r="L7" s="22"/>
      <c r="M7" s="23"/>
      <c r="N7" s="21">
        <v>10</v>
      </c>
      <c r="O7" s="22"/>
      <c r="P7" s="22"/>
      <c r="Q7" s="22"/>
      <c r="R7" s="23"/>
      <c r="S7" s="21">
        <v>10</v>
      </c>
      <c r="T7" s="22"/>
      <c r="U7" s="22"/>
      <c r="V7" s="22"/>
      <c r="W7" s="23"/>
      <c r="X7" s="21">
        <v>10</v>
      </c>
      <c r="Y7" s="36"/>
      <c r="Z7" s="36"/>
      <c r="AA7" s="22"/>
      <c r="AB7" s="22"/>
      <c r="AC7" s="49">
        <v>4</v>
      </c>
      <c r="AD7" s="49" t="str">
        <f t="shared" si="0"/>
        <v>○</v>
      </c>
      <c r="AE7" s="64" t="str">
        <f t="shared" si="1"/>
        <v>35</v>
      </c>
      <c r="AF7" s="50" t="s">
        <v>22</v>
      </c>
      <c r="AG7" s="49">
        <v>40</v>
      </c>
      <c r="AH7" s="38">
        <v>0</v>
      </c>
      <c r="AI7" s="34"/>
    </row>
    <row r="8" spans="1:35" ht="15.75" customHeight="1" x14ac:dyDescent="0.15">
      <c r="A8" s="1">
        <v>4</v>
      </c>
      <c r="B8" s="20" t="s">
        <v>23</v>
      </c>
      <c r="C8" s="20" t="s">
        <v>24</v>
      </c>
      <c r="D8" s="21"/>
      <c r="E8" s="22"/>
      <c r="F8" s="22"/>
      <c r="G8" s="22"/>
      <c r="H8" s="23"/>
      <c r="I8" s="21">
        <v>10</v>
      </c>
      <c r="J8" s="22"/>
      <c r="K8" s="22"/>
      <c r="L8" s="22"/>
      <c r="M8" s="23"/>
      <c r="N8" s="21">
        <v>10</v>
      </c>
      <c r="O8" s="22"/>
      <c r="P8" s="22"/>
      <c r="Q8" s="22"/>
      <c r="R8" s="23"/>
      <c r="S8" s="21">
        <v>10</v>
      </c>
      <c r="T8" s="22"/>
      <c r="U8" s="22"/>
      <c r="V8" s="22"/>
      <c r="W8" s="23"/>
      <c r="X8" s="21">
        <v>10</v>
      </c>
      <c r="Y8" s="36"/>
      <c r="Z8" s="36"/>
      <c r="AA8" s="22"/>
      <c r="AB8" s="22"/>
      <c r="AC8" s="49">
        <v>5</v>
      </c>
      <c r="AD8" s="49" t="str">
        <f t="shared" si="0"/>
        <v>○</v>
      </c>
      <c r="AE8" s="64" t="str">
        <f t="shared" si="1"/>
        <v>34</v>
      </c>
      <c r="AF8" s="50" t="s">
        <v>25</v>
      </c>
      <c r="AG8" s="49">
        <v>45</v>
      </c>
      <c r="AH8" s="38">
        <v>84</v>
      </c>
      <c r="AI8" s="34"/>
    </row>
    <row r="9" spans="1:35" ht="15.75" customHeight="1" x14ac:dyDescent="0.15">
      <c r="A9" s="1">
        <v>5</v>
      </c>
      <c r="B9" s="20" t="s">
        <v>26</v>
      </c>
      <c r="C9" s="20" t="s">
        <v>27</v>
      </c>
      <c r="D9" s="21"/>
      <c r="E9" s="22"/>
      <c r="F9" s="22"/>
      <c r="G9" s="22"/>
      <c r="H9" s="23"/>
      <c r="I9" s="21"/>
      <c r="J9" s="22">
        <v>20</v>
      </c>
      <c r="K9" s="22">
        <v>20</v>
      </c>
      <c r="L9" s="22"/>
      <c r="M9" s="23"/>
      <c r="N9" s="21"/>
      <c r="O9" s="22">
        <v>20</v>
      </c>
      <c r="P9" s="22">
        <v>20</v>
      </c>
      <c r="Q9" s="22"/>
      <c r="R9" s="23"/>
      <c r="S9" s="21"/>
      <c r="T9" s="22">
        <v>20</v>
      </c>
      <c r="U9" s="22">
        <v>20</v>
      </c>
      <c r="V9" s="22"/>
      <c r="W9" s="23"/>
      <c r="X9" s="21"/>
      <c r="Y9" s="36"/>
      <c r="Z9" s="36"/>
      <c r="AA9" s="22">
        <v>20</v>
      </c>
      <c r="AB9" s="22">
        <v>20</v>
      </c>
      <c r="AC9" s="49">
        <v>2</v>
      </c>
      <c r="AD9" s="49" t="str">
        <f t="shared" si="0"/>
        <v>○</v>
      </c>
      <c r="AE9" s="64" t="str">
        <f t="shared" si="1"/>
        <v>34</v>
      </c>
      <c r="AF9" s="50" t="s">
        <v>25</v>
      </c>
      <c r="AG9" s="49">
        <v>52</v>
      </c>
      <c r="AH9" s="38">
        <v>93</v>
      </c>
      <c r="AI9" s="34"/>
    </row>
    <row r="10" spans="1:35" ht="15.75" customHeight="1" x14ac:dyDescent="0.15">
      <c r="A10" s="1">
        <v>6</v>
      </c>
      <c r="B10" s="20" t="s">
        <v>28</v>
      </c>
      <c r="C10" s="20" t="s">
        <v>27</v>
      </c>
      <c r="D10" s="21">
        <v>20</v>
      </c>
      <c r="E10" s="22"/>
      <c r="F10" s="22"/>
      <c r="G10" s="22">
        <v>20</v>
      </c>
      <c r="H10" s="23"/>
      <c r="I10" s="21"/>
      <c r="J10" s="22"/>
      <c r="K10" s="22"/>
      <c r="L10" s="22"/>
      <c r="M10" s="23"/>
      <c r="N10" s="21"/>
      <c r="O10" s="22"/>
      <c r="P10" s="22"/>
      <c r="Q10" s="22"/>
      <c r="R10" s="23"/>
      <c r="S10" s="21"/>
      <c r="T10" s="22"/>
      <c r="U10" s="22"/>
      <c r="V10" s="22"/>
      <c r="W10" s="23"/>
      <c r="X10" s="21"/>
      <c r="Y10" s="36"/>
      <c r="Z10" s="36"/>
      <c r="AA10" s="22"/>
      <c r="AB10" s="22"/>
      <c r="AC10" s="49">
        <v>2</v>
      </c>
      <c r="AD10" s="49" t="str">
        <f t="shared" si="0"/>
        <v>○</v>
      </c>
      <c r="AE10" s="64" t="str">
        <f t="shared" si="1"/>
        <v>34</v>
      </c>
      <c r="AF10" s="50" t="s">
        <v>25</v>
      </c>
      <c r="AG10" s="49">
        <v>52</v>
      </c>
      <c r="AH10" s="38">
        <v>76</v>
      </c>
      <c r="AI10" s="34"/>
    </row>
    <row r="11" spans="1:35" ht="15.75" customHeight="1" x14ac:dyDescent="0.15">
      <c r="A11" s="1">
        <v>7</v>
      </c>
      <c r="B11" s="20" t="s">
        <v>29</v>
      </c>
      <c r="C11" s="20" t="s">
        <v>30</v>
      </c>
      <c r="D11" s="21"/>
      <c r="E11" s="22"/>
      <c r="F11" s="22"/>
      <c r="G11" s="22"/>
      <c r="H11" s="23"/>
      <c r="I11" s="21">
        <v>62</v>
      </c>
      <c r="J11" s="22"/>
      <c r="K11" s="22">
        <v>62</v>
      </c>
      <c r="L11" s="22"/>
      <c r="M11" s="23"/>
      <c r="N11" s="21">
        <v>62</v>
      </c>
      <c r="O11" s="22"/>
      <c r="P11" s="22">
        <v>62</v>
      </c>
      <c r="Q11" s="22"/>
      <c r="R11" s="23"/>
      <c r="S11" s="21">
        <v>62</v>
      </c>
      <c r="T11" s="22"/>
      <c r="U11" s="22">
        <v>62</v>
      </c>
      <c r="V11" s="22"/>
      <c r="W11" s="23"/>
      <c r="X11" s="21">
        <v>62</v>
      </c>
      <c r="Y11" s="36"/>
      <c r="Z11" s="36"/>
      <c r="AA11" s="22"/>
      <c r="AB11" s="22">
        <v>62</v>
      </c>
      <c r="AC11" s="49">
        <v>2</v>
      </c>
      <c r="AD11" s="49" t="str">
        <f t="shared" si="0"/>
        <v>○</v>
      </c>
      <c r="AE11" s="64" t="str">
        <f t="shared" si="1"/>
        <v>34</v>
      </c>
      <c r="AF11" s="50" t="s">
        <v>25</v>
      </c>
      <c r="AG11" s="49">
        <v>42</v>
      </c>
      <c r="AH11" s="38">
        <v>0</v>
      </c>
      <c r="AI11" s="34"/>
    </row>
    <row r="12" spans="1:35" ht="15.75" customHeight="1" x14ac:dyDescent="0.15">
      <c r="A12" s="1">
        <v>8</v>
      </c>
      <c r="B12" s="20" t="s">
        <v>31</v>
      </c>
      <c r="C12" s="20" t="s">
        <v>32</v>
      </c>
      <c r="D12" s="21"/>
      <c r="E12" s="22"/>
      <c r="F12" s="22"/>
      <c r="G12" s="22"/>
      <c r="H12" s="23"/>
      <c r="I12" s="21"/>
      <c r="J12" s="22"/>
      <c r="K12" s="22">
        <v>200</v>
      </c>
      <c r="L12" s="22"/>
      <c r="M12" s="23"/>
      <c r="N12" s="21"/>
      <c r="O12" s="22"/>
      <c r="P12" s="22">
        <v>200</v>
      </c>
      <c r="Q12" s="22"/>
      <c r="R12" s="23"/>
      <c r="S12" s="21"/>
      <c r="T12" s="22"/>
      <c r="U12" s="22">
        <v>200</v>
      </c>
      <c r="V12" s="22"/>
      <c r="W12" s="23"/>
      <c r="X12" s="21"/>
      <c r="Y12" s="36"/>
      <c r="Z12" s="36"/>
      <c r="AA12" s="22"/>
      <c r="AB12" s="22">
        <v>200</v>
      </c>
      <c r="AC12" s="49">
        <v>2</v>
      </c>
      <c r="AD12" s="49" t="str">
        <f t="shared" si="0"/>
        <v>○</v>
      </c>
      <c r="AE12" s="64" t="str">
        <f t="shared" si="1"/>
        <v>27.2</v>
      </c>
      <c r="AF12" s="50" t="s">
        <v>33</v>
      </c>
      <c r="AG12" s="49">
        <v>32</v>
      </c>
      <c r="AH12" s="38">
        <v>99</v>
      </c>
      <c r="AI12" s="34"/>
    </row>
    <row r="13" spans="1:35" ht="15.75" customHeight="1" x14ac:dyDescent="0.15">
      <c r="A13" s="1">
        <v>9</v>
      </c>
      <c r="B13" s="20" t="s">
        <v>34</v>
      </c>
      <c r="C13" s="20" t="s">
        <v>35</v>
      </c>
      <c r="D13" s="21"/>
      <c r="E13" s="22"/>
      <c r="F13" s="22"/>
      <c r="G13" s="22"/>
      <c r="H13" s="23"/>
      <c r="I13" s="21">
        <v>19</v>
      </c>
      <c r="J13" s="22"/>
      <c r="K13" s="22"/>
      <c r="L13" s="22"/>
      <c r="M13" s="23"/>
      <c r="N13" s="21">
        <v>19</v>
      </c>
      <c r="O13" s="22"/>
      <c r="P13" s="22"/>
      <c r="Q13" s="22"/>
      <c r="R13" s="23"/>
      <c r="S13" s="21">
        <v>19</v>
      </c>
      <c r="T13" s="22"/>
      <c r="U13" s="22"/>
      <c r="V13" s="22"/>
      <c r="W13" s="23"/>
      <c r="X13" s="21">
        <v>19</v>
      </c>
      <c r="Y13" s="36"/>
      <c r="Z13" s="36"/>
      <c r="AA13" s="22"/>
      <c r="AB13" s="22"/>
      <c r="AC13" s="49">
        <v>2</v>
      </c>
      <c r="AD13" s="49" t="str">
        <f t="shared" si="0"/>
        <v>○</v>
      </c>
      <c r="AE13" s="64" t="str">
        <f t="shared" si="1"/>
        <v>27.2</v>
      </c>
      <c r="AF13" s="50" t="s">
        <v>33</v>
      </c>
      <c r="AG13" s="49">
        <v>42</v>
      </c>
      <c r="AH13" s="38">
        <v>52</v>
      </c>
      <c r="AI13" s="34"/>
    </row>
    <row r="14" spans="1:35" ht="15.75" customHeight="1" x14ac:dyDescent="0.15">
      <c r="A14" s="1">
        <v>10</v>
      </c>
      <c r="B14" s="20" t="s">
        <v>36</v>
      </c>
      <c r="C14" s="20" t="s">
        <v>37</v>
      </c>
      <c r="D14" s="21"/>
      <c r="E14" s="22"/>
      <c r="F14" s="22"/>
      <c r="G14" s="22"/>
      <c r="H14" s="23"/>
      <c r="I14" s="21"/>
      <c r="J14" s="22"/>
      <c r="K14" s="22">
        <v>96</v>
      </c>
      <c r="L14" s="22"/>
      <c r="M14" s="23"/>
      <c r="N14" s="21"/>
      <c r="O14" s="22"/>
      <c r="P14" s="22">
        <v>96</v>
      </c>
      <c r="Q14" s="22"/>
      <c r="R14" s="23"/>
      <c r="S14" s="21"/>
      <c r="T14" s="22"/>
      <c r="U14" s="22">
        <v>96</v>
      </c>
      <c r="V14" s="22"/>
      <c r="W14" s="23"/>
      <c r="X14" s="21"/>
      <c r="Y14" s="36"/>
      <c r="Z14" s="36"/>
      <c r="AA14" s="22"/>
      <c r="AB14" s="22">
        <v>96</v>
      </c>
      <c r="AC14" s="49">
        <v>2</v>
      </c>
      <c r="AD14" s="49" t="str">
        <f t="shared" si="0"/>
        <v>○</v>
      </c>
      <c r="AE14" s="64" t="str">
        <f t="shared" si="1"/>
        <v>27.2</v>
      </c>
      <c r="AF14" s="50" t="s">
        <v>33</v>
      </c>
      <c r="AG14" s="49">
        <v>88</v>
      </c>
      <c r="AH14" s="38">
        <v>96</v>
      </c>
      <c r="AI14" s="34"/>
    </row>
    <row r="15" spans="1:35" ht="15.75" customHeight="1" x14ac:dyDescent="0.15">
      <c r="A15" s="1">
        <v>11</v>
      </c>
      <c r="B15" s="20" t="s">
        <v>38</v>
      </c>
      <c r="C15" s="20" t="s">
        <v>39</v>
      </c>
      <c r="D15" s="21"/>
      <c r="E15" s="22"/>
      <c r="F15" s="22"/>
      <c r="G15" s="22"/>
      <c r="H15" s="23"/>
      <c r="I15" s="21"/>
      <c r="J15" s="22">
        <v>150</v>
      </c>
      <c r="K15" s="22"/>
      <c r="L15" s="22"/>
      <c r="M15" s="23"/>
      <c r="N15" s="21"/>
      <c r="O15" s="22">
        <v>150</v>
      </c>
      <c r="P15" s="22"/>
      <c r="Q15" s="22"/>
      <c r="R15" s="23"/>
      <c r="S15" s="21"/>
      <c r="T15" s="22">
        <v>150</v>
      </c>
      <c r="U15" s="22"/>
      <c r="V15" s="22"/>
      <c r="W15" s="23"/>
      <c r="X15" s="21"/>
      <c r="Y15" s="36"/>
      <c r="Z15" s="36"/>
      <c r="AA15" s="22">
        <v>150</v>
      </c>
      <c r="AB15" s="22"/>
      <c r="AC15" s="49">
        <v>2</v>
      </c>
      <c r="AD15" s="49" t="str">
        <f t="shared" si="0"/>
        <v>○</v>
      </c>
      <c r="AE15" s="64" t="str">
        <f t="shared" si="1"/>
        <v>27.2</v>
      </c>
      <c r="AF15" s="50" t="s">
        <v>33</v>
      </c>
      <c r="AG15" s="49">
        <v>50</v>
      </c>
      <c r="AH15" s="38">
        <v>64</v>
      </c>
      <c r="AI15" s="34"/>
    </row>
    <row r="16" spans="1:35" ht="15.75" customHeight="1" x14ac:dyDescent="0.15">
      <c r="A16" s="1">
        <v>12</v>
      </c>
      <c r="B16" s="20" t="s">
        <v>40</v>
      </c>
      <c r="C16" s="20" t="s">
        <v>41</v>
      </c>
      <c r="D16" s="21"/>
      <c r="E16" s="22"/>
      <c r="F16" s="22"/>
      <c r="G16" s="22"/>
      <c r="H16" s="23"/>
      <c r="I16" s="21"/>
      <c r="J16" s="22">
        <v>96</v>
      </c>
      <c r="K16" s="22"/>
      <c r="L16" s="22"/>
      <c r="M16" s="23"/>
      <c r="N16" s="21"/>
      <c r="O16" s="22">
        <v>96</v>
      </c>
      <c r="P16" s="22"/>
      <c r="Q16" s="22"/>
      <c r="R16" s="23"/>
      <c r="S16" s="21"/>
      <c r="T16" s="22">
        <v>96</v>
      </c>
      <c r="U16" s="22"/>
      <c r="V16" s="22"/>
      <c r="W16" s="23"/>
      <c r="X16" s="21"/>
      <c r="Y16" s="36"/>
      <c r="Z16" s="36"/>
      <c r="AA16" s="22">
        <v>96</v>
      </c>
      <c r="AB16" s="22"/>
      <c r="AC16" s="49">
        <v>2</v>
      </c>
      <c r="AD16" s="49" t="str">
        <f t="shared" si="0"/>
        <v>○</v>
      </c>
      <c r="AE16" s="64" t="str">
        <f t="shared" si="1"/>
        <v>27.2</v>
      </c>
      <c r="AF16" s="50" t="s">
        <v>33</v>
      </c>
      <c r="AG16" s="49">
        <v>30</v>
      </c>
      <c r="AH16" s="38">
        <v>100</v>
      </c>
      <c r="AI16" s="34"/>
    </row>
    <row r="17" spans="1:35" ht="15.75" customHeight="1" x14ac:dyDescent="0.15">
      <c r="A17" s="1">
        <v>13</v>
      </c>
      <c r="B17" s="20" t="s">
        <v>42</v>
      </c>
      <c r="C17" s="20" t="s">
        <v>43</v>
      </c>
      <c r="D17" s="21"/>
      <c r="E17" s="22"/>
      <c r="F17" s="22"/>
      <c r="G17" s="22">
        <v>120</v>
      </c>
      <c r="H17" s="23">
        <v>90</v>
      </c>
      <c r="I17" s="21"/>
      <c r="J17" s="22"/>
      <c r="K17" s="22"/>
      <c r="L17" s="22"/>
      <c r="M17" s="23"/>
      <c r="N17" s="21"/>
      <c r="O17" s="22"/>
      <c r="P17" s="22"/>
      <c r="Q17" s="22"/>
      <c r="R17" s="23"/>
      <c r="S17" s="21"/>
      <c r="T17" s="22"/>
      <c r="U17" s="22"/>
      <c r="V17" s="22"/>
      <c r="W17" s="23"/>
      <c r="X17" s="21"/>
      <c r="Y17" s="36"/>
      <c r="Z17" s="36"/>
      <c r="AA17" s="22"/>
      <c r="AB17" s="22"/>
      <c r="AC17" s="49">
        <v>2</v>
      </c>
      <c r="AD17" s="49" t="str">
        <f t="shared" si="0"/>
        <v>○</v>
      </c>
      <c r="AE17" s="64" t="str">
        <f t="shared" si="1"/>
        <v>25.4</v>
      </c>
      <c r="AF17" s="50" t="s">
        <v>44</v>
      </c>
      <c r="AG17" s="49">
        <v>65</v>
      </c>
      <c r="AH17" s="38">
        <v>79</v>
      </c>
      <c r="AI17" s="34"/>
    </row>
    <row r="18" spans="1:35" ht="15.75" customHeight="1" x14ac:dyDescent="0.15">
      <c r="A18" s="1">
        <v>14</v>
      </c>
      <c r="B18" s="20" t="s">
        <v>45</v>
      </c>
      <c r="C18" s="20" t="s">
        <v>46</v>
      </c>
      <c r="D18" s="21"/>
      <c r="E18" s="22"/>
      <c r="F18" s="22"/>
      <c r="G18" s="22">
        <v>120</v>
      </c>
      <c r="H18" s="23">
        <v>90</v>
      </c>
      <c r="I18" s="21"/>
      <c r="J18" s="22"/>
      <c r="K18" s="22"/>
      <c r="L18" s="22"/>
      <c r="M18" s="23"/>
      <c r="N18" s="21"/>
      <c r="O18" s="22"/>
      <c r="P18" s="22"/>
      <c r="Q18" s="22"/>
      <c r="R18" s="23"/>
      <c r="S18" s="21"/>
      <c r="T18" s="22"/>
      <c r="U18" s="22"/>
      <c r="V18" s="22"/>
      <c r="W18" s="23"/>
      <c r="X18" s="21"/>
      <c r="Y18" s="36"/>
      <c r="Z18" s="36"/>
      <c r="AA18" s="22"/>
      <c r="AB18" s="22"/>
      <c r="AC18" s="49">
        <v>2</v>
      </c>
      <c r="AD18" s="49" t="str">
        <f t="shared" si="0"/>
        <v>○</v>
      </c>
      <c r="AE18" s="64" t="str">
        <f t="shared" si="1"/>
        <v>25.4</v>
      </c>
      <c r="AF18" s="50" t="s">
        <v>44</v>
      </c>
      <c r="AG18" s="49">
        <v>85</v>
      </c>
      <c r="AH18" s="38">
        <v>79</v>
      </c>
      <c r="AI18" s="34"/>
    </row>
    <row r="19" spans="1:35" ht="15.75" customHeight="1" x14ac:dyDescent="0.15">
      <c r="A19" s="1">
        <v>15</v>
      </c>
      <c r="B19" s="20" t="s">
        <v>47</v>
      </c>
      <c r="C19" s="20" t="s">
        <v>48</v>
      </c>
      <c r="D19" s="21"/>
      <c r="E19" s="22"/>
      <c r="F19" s="22"/>
      <c r="G19" s="22"/>
      <c r="H19" s="23"/>
      <c r="I19" s="21"/>
      <c r="J19" s="22">
        <v>72</v>
      </c>
      <c r="K19" s="22">
        <v>72</v>
      </c>
      <c r="L19" s="22"/>
      <c r="M19" s="23"/>
      <c r="N19" s="21"/>
      <c r="O19" s="22">
        <v>72</v>
      </c>
      <c r="P19" s="22">
        <v>72</v>
      </c>
      <c r="Q19" s="22"/>
      <c r="R19" s="23"/>
      <c r="S19" s="21"/>
      <c r="T19" s="22">
        <v>72</v>
      </c>
      <c r="U19" s="22">
        <v>72</v>
      </c>
      <c r="V19" s="22"/>
      <c r="W19" s="23"/>
      <c r="X19" s="21"/>
      <c r="Y19" s="36"/>
      <c r="Z19" s="36"/>
      <c r="AA19" s="22">
        <v>72</v>
      </c>
      <c r="AB19" s="22">
        <v>72</v>
      </c>
      <c r="AC19" s="49">
        <v>2</v>
      </c>
      <c r="AD19" s="49" t="str">
        <f t="shared" si="0"/>
        <v>○</v>
      </c>
      <c r="AE19" s="64" t="str">
        <f t="shared" si="1"/>
        <v>25.4</v>
      </c>
      <c r="AF19" s="50" t="s">
        <v>44</v>
      </c>
      <c r="AG19" s="49">
        <v>50</v>
      </c>
      <c r="AH19" s="38">
        <v>79</v>
      </c>
      <c r="AI19" s="34"/>
    </row>
    <row r="20" spans="1:35" ht="15.75" customHeight="1" x14ac:dyDescent="0.15">
      <c r="A20" s="1">
        <v>16</v>
      </c>
      <c r="B20" s="20" t="s">
        <v>49</v>
      </c>
      <c r="C20" s="20" t="s">
        <v>48</v>
      </c>
      <c r="D20" s="21"/>
      <c r="E20" s="22"/>
      <c r="F20" s="22"/>
      <c r="G20" s="22"/>
      <c r="H20" s="23"/>
      <c r="I20" s="21">
        <v>54</v>
      </c>
      <c r="J20" s="22"/>
      <c r="K20" s="22"/>
      <c r="L20" s="22"/>
      <c r="M20" s="23"/>
      <c r="N20" s="21">
        <v>54</v>
      </c>
      <c r="O20" s="22"/>
      <c r="P20" s="22"/>
      <c r="Q20" s="22"/>
      <c r="R20" s="23"/>
      <c r="S20" s="21">
        <v>54</v>
      </c>
      <c r="T20" s="22"/>
      <c r="U20" s="22"/>
      <c r="V20" s="22"/>
      <c r="W20" s="23"/>
      <c r="X20" s="21">
        <v>54</v>
      </c>
      <c r="Y20" s="36"/>
      <c r="Z20" s="36"/>
      <c r="AA20" s="22"/>
      <c r="AB20" s="22"/>
      <c r="AC20" s="49">
        <v>2</v>
      </c>
      <c r="AD20" s="49" t="str">
        <f t="shared" si="0"/>
        <v>○</v>
      </c>
      <c r="AE20" s="64" t="str">
        <f t="shared" si="1"/>
        <v>25.4</v>
      </c>
      <c r="AF20" s="50" t="s">
        <v>44</v>
      </c>
      <c r="AG20" s="49">
        <v>50</v>
      </c>
      <c r="AH20" s="38">
        <v>79</v>
      </c>
      <c r="AI20" s="34"/>
    </row>
    <row r="21" spans="1:35" ht="15.75" customHeight="1" x14ac:dyDescent="0.15">
      <c r="A21" s="1">
        <v>17</v>
      </c>
      <c r="B21" s="20" t="s">
        <v>50</v>
      </c>
      <c r="C21" s="20" t="s">
        <v>51</v>
      </c>
      <c r="D21" s="21"/>
      <c r="E21" s="22"/>
      <c r="F21" s="22"/>
      <c r="G21" s="22"/>
      <c r="H21" s="23"/>
      <c r="I21" s="21">
        <v>20</v>
      </c>
      <c r="J21" s="22"/>
      <c r="K21" s="22"/>
      <c r="L21" s="22"/>
      <c r="M21" s="23"/>
      <c r="N21" s="21">
        <v>20</v>
      </c>
      <c r="O21" s="22"/>
      <c r="P21" s="22"/>
      <c r="Q21" s="22"/>
      <c r="R21" s="23"/>
      <c r="S21" s="21">
        <v>20</v>
      </c>
      <c r="T21" s="22"/>
      <c r="U21" s="22"/>
      <c r="V21" s="22"/>
      <c r="W21" s="23"/>
      <c r="X21" s="21">
        <v>20</v>
      </c>
      <c r="Y21" s="36"/>
      <c r="Z21" s="36"/>
      <c r="AA21" s="22"/>
      <c r="AB21" s="22"/>
      <c r="AC21" s="49">
        <v>1</v>
      </c>
      <c r="AD21" s="49" t="str">
        <f t="shared" si="0"/>
        <v>○</v>
      </c>
      <c r="AE21" s="64" t="str">
        <f t="shared" si="1"/>
        <v>21.7</v>
      </c>
      <c r="AF21" s="50" t="s">
        <v>52</v>
      </c>
      <c r="AG21" s="49">
        <v>41</v>
      </c>
      <c r="AH21" s="38">
        <v>52</v>
      </c>
      <c r="AI21" s="34"/>
    </row>
    <row r="22" spans="1:35" ht="15.75" customHeight="1" x14ac:dyDescent="0.15">
      <c r="A22" s="1">
        <v>18</v>
      </c>
      <c r="B22" s="20" t="s">
        <v>53</v>
      </c>
      <c r="C22" s="20" t="s">
        <v>54</v>
      </c>
      <c r="D22" s="21"/>
      <c r="E22" s="22"/>
      <c r="F22" s="22"/>
      <c r="G22" s="22"/>
      <c r="H22" s="23"/>
      <c r="I22" s="21">
        <v>10</v>
      </c>
      <c r="J22" s="22">
        <v>60</v>
      </c>
      <c r="K22" s="22">
        <v>20</v>
      </c>
      <c r="L22" s="22"/>
      <c r="M22" s="23"/>
      <c r="N22" s="21">
        <v>10</v>
      </c>
      <c r="O22" s="22">
        <v>60</v>
      </c>
      <c r="P22" s="22">
        <v>20</v>
      </c>
      <c r="Q22" s="22"/>
      <c r="R22" s="23"/>
      <c r="S22" s="21">
        <v>10</v>
      </c>
      <c r="T22" s="22">
        <v>60</v>
      </c>
      <c r="U22" s="22">
        <v>20</v>
      </c>
      <c r="V22" s="22"/>
      <c r="W22" s="23"/>
      <c r="X22" s="21">
        <v>10</v>
      </c>
      <c r="Y22" s="36"/>
      <c r="Z22" s="36"/>
      <c r="AA22" s="22">
        <v>60</v>
      </c>
      <c r="AB22" s="22">
        <v>20</v>
      </c>
      <c r="AC22" s="49">
        <v>2</v>
      </c>
      <c r="AD22" s="49" t="str">
        <f t="shared" si="0"/>
        <v>○</v>
      </c>
      <c r="AE22" s="64" t="str">
        <f t="shared" si="1"/>
        <v>21.7</v>
      </c>
      <c r="AF22" s="50" t="s">
        <v>52</v>
      </c>
      <c r="AG22" s="49">
        <v>40</v>
      </c>
      <c r="AH22" s="38">
        <v>87</v>
      </c>
      <c r="AI22" s="34"/>
    </row>
    <row r="23" spans="1:35" ht="15.75" customHeight="1" x14ac:dyDescent="0.15">
      <c r="A23" s="1">
        <v>19</v>
      </c>
      <c r="B23" s="20" t="s">
        <v>55</v>
      </c>
      <c r="C23" s="20" t="s">
        <v>56</v>
      </c>
      <c r="D23" s="21"/>
      <c r="E23" s="22"/>
      <c r="F23" s="22"/>
      <c r="G23" s="22">
        <v>1</v>
      </c>
      <c r="H23" s="23"/>
      <c r="I23" s="21"/>
      <c r="J23" s="22"/>
      <c r="K23" s="22"/>
      <c r="L23" s="22"/>
      <c r="M23" s="23"/>
      <c r="N23" s="21"/>
      <c r="O23" s="22"/>
      <c r="P23" s="22"/>
      <c r="Q23" s="22"/>
      <c r="R23" s="23"/>
      <c r="S23" s="21"/>
      <c r="T23" s="22"/>
      <c r="U23" s="22"/>
      <c r="V23" s="22"/>
      <c r="W23" s="23"/>
      <c r="X23" s="21"/>
      <c r="Y23" s="36"/>
      <c r="Z23" s="36"/>
      <c r="AA23" s="22"/>
      <c r="AB23" s="22"/>
      <c r="AC23" s="49">
        <v>1</v>
      </c>
      <c r="AD23" s="49" t="str">
        <f t="shared" si="0"/>
        <v>○</v>
      </c>
      <c r="AE23" s="64" t="str">
        <f t="shared" si="1"/>
        <v>17.3</v>
      </c>
      <c r="AF23" s="50" t="s">
        <v>57</v>
      </c>
      <c r="AG23" s="49">
        <v>410.5</v>
      </c>
      <c r="AH23" s="38">
        <v>42</v>
      </c>
      <c r="AI23" s="34"/>
    </row>
    <row r="24" spans="1:35" ht="15.75" customHeight="1" x14ac:dyDescent="0.15">
      <c r="A24" s="1">
        <v>20</v>
      </c>
      <c r="B24" s="20" t="s">
        <v>58</v>
      </c>
      <c r="C24" s="20" t="s">
        <v>59</v>
      </c>
      <c r="D24" s="21"/>
      <c r="E24" s="22"/>
      <c r="F24" s="22"/>
      <c r="G24" s="22"/>
      <c r="H24" s="23"/>
      <c r="I24" s="21"/>
      <c r="J24" s="22">
        <v>50</v>
      </c>
      <c r="K24" s="22"/>
      <c r="L24" s="22"/>
      <c r="M24" s="23"/>
      <c r="N24" s="21"/>
      <c r="O24" s="22">
        <v>50</v>
      </c>
      <c r="P24" s="22"/>
      <c r="Q24" s="22"/>
      <c r="R24" s="23"/>
      <c r="S24" s="21"/>
      <c r="T24" s="22">
        <v>50</v>
      </c>
      <c r="U24" s="22"/>
      <c r="V24" s="22"/>
      <c r="W24" s="23"/>
      <c r="X24" s="21"/>
      <c r="Y24" s="36"/>
      <c r="Z24" s="36"/>
      <c r="AA24" s="22">
        <v>50</v>
      </c>
      <c r="AB24" s="22"/>
      <c r="AC24" s="49">
        <v>2</v>
      </c>
      <c r="AD24" s="49" t="str">
        <f t="shared" si="0"/>
        <v>○</v>
      </c>
      <c r="AE24" s="64" t="str">
        <f t="shared" si="1"/>
        <v>10.5</v>
      </c>
      <c r="AF24" s="50" t="s">
        <v>60</v>
      </c>
      <c r="AG24" s="49">
        <v>48</v>
      </c>
      <c r="AH24" s="38">
        <v>82</v>
      </c>
      <c r="AI24" s="34"/>
    </row>
    <row r="25" spans="1:35" ht="15.75" customHeight="1" x14ac:dyDescent="0.15">
      <c r="A25" s="1">
        <v>21</v>
      </c>
      <c r="B25" s="20" t="s">
        <v>61</v>
      </c>
      <c r="C25" s="20" t="s">
        <v>62</v>
      </c>
      <c r="D25" s="21">
        <v>6</v>
      </c>
      <c r="E25" s="22"/>
      <c r="F25" s="22"/>
      <c r="G25" s="22"/>
      <c r="H25" s="23"/>
      <c r="I25" s="21"/>
      <c r="J25" s="22"/>
      <c r="K25" s="22"/>
      <c r="L25" s="22"/>
      <c r="M25" s="23"/>
      <c r="N25" s="21"/>
      <c r="O25" s="22"/>
      <c r="P25" s="22"/>
      <c r="Q25" s="22"/>
      <c r="R25" s="23"/>
      <c r="S25" s="21"/>
      <c r="T25" s="22"/>
      <c r="U25" s="22"/>
      <c r="V25" s="22"/>
      <c r="W25" s="23"/>
      <c r="X25" s="21"/>
      <c r="Y25" s="36"/>
      <c r="Z25" s="36"/>
      <c r="AA25" s="22"/>
      <c r="AB25" s="22"/>
      <c r="AC25" s="49">
        <v>3</v>
      </c>
      <c r="AD25" s="49" t="str">
        <f t="shared" si="0"/>
        <v>●</v>
      </c>
      <c r="AE25" s="64" t="str">
        <f t="shared" si="1"/>
        <v>36</v>
      </c>
      <c r="AF25" s="50" t="s">
        <v>63</v>
      </c>
      <c r="AG25" s="49">
        <v>36</v>
      </c>
      <c r="AH25" s="38">
        <v>113</v>
      </c>
      <c r="AI25" s="34"/>
    </row>
    <row r="26" spans="1:35" ht="15.75" customHeight="1" x14ac:dyDescent="0.15">
      <c r="A26" s="1">
        <v>22</v>
      </c>
      <c r="B26" s="20" t="s">
        <v>64</v>
      </c>
      <c r="C26" s="20" t="s">
        <v>65</v>
      </c>
      <c r="D26" s="21"/>
      <c r="E26" s="22"/>
      <c r="F26" s="22"/>
      <c r="G26" s="22"/>
      <c r="H26" s="23"/>
      <c r="I26" s="21">
        <v>3</v>
      </c>
      <c r="J26" s="22"/>
      <c r="K26" s="22"/>
      <c r="L26" s="22"/>
      <c r="M26" s="23"/>
      <c r="N26" s="21">
        <v>3</v>
      </c>
      <c r="O26" s="22"/>
      <c r="P26" s="22"/>
      <c r="Q26" s="22"/>
      <c r="R26" s="23"/>
      <c r="S26" s="21">
        <v>3</v>
      </c>
      <c r="T26" s="22"/>
      <c r="U26" s="22"/>
      <c r="V26" s="22"/>
      <c r="W26" s="23"/>
      <c r="X26" s="21">
        <v>3</v>
      </c>
      <c r="Y26" s="36"/>
      <c r="Z26" s="36"/>
      <c r="AA26" s="22"/>
      <c r="AB26" s="22"/>
      <c r="AC26" s="49">
        <v>2</v>
      </c>
      <c r="AD26" s="49" t="str">
        <f t="shared" si="0"/>
        <v>●</v>
      </c>
      <c r="AE26" s="64" t="str">
        <f t="shared" si="1"/>
        <v>32</v>
      </c>
      <c r="AF26" s="50" t="s">
        <v>66</v>
      </c>
      <c r="AG26" s="49">
        <v>40</v>
      </c>
      <c r="AH26" s="38">
        <v>173</v>
      </c>
      <c r="AI26" s="34"/>
    </row>
    <row r="27" spans="1:35" ht="15.75" customHeight="1" x14ac:dyDescent="0.15">
      <c r="A27" s="1">
        <v>23</v>
      </c>
      <c r="B27" s="20" t="s">
        <v>67</v>
      </c>
      <c r="C27" s="20" t="s">
        <v>68</v>
      </c>
      <c r="D27" s="21"/>
      <c r="E27" s="22"/>
      <c r="F27" s="22">
        <v>9</v>
      </c>
      <c r="G27" s="22"/>
      <c r="H27" s="23"/>
      <c r="I27" s="21"/>
      <c r="J27" s="22"/>
      <c r="K27" s="22"/>
      <c r="L27" s="22"/>
      <c r="M27" s="23"/>
      <c r="N27" s="21"/>
      <c r="O27" s="22"/>
      <c r="P27" s="22"/>
      <c r="Q27" s="22"/>
      <c r="R27" s="23"/>
      <c r="S27" s="21"/>
      <c r="T27" s="22"/>
      <c r="U27" s="22"/>
      <c r="V27" s="22"/>
      <c r="W27" s="23"/>
      <c r="X27" s="21"/>
      <c r="Y27" s="36"/>
      <c r="Z27" s="36"/>
      <c r="AA27" s="22"/>
      <c r="AB27" s="22"/>
      <c r="AC27" s="49">
        <v>2</v>
      </c>
      <c r="AD27" s="49" t="str">
        <f t="shared" si="0"/>
        <v>●</v>
      </c>
      <c r="AE27" s="64" t="str">
        <f t="shared" si="1"/>
        <v>32</v>
      </c>
      <c r="AF27" s="50" t="s">
        <v>66</v>
      </c>
      <c r="AG27" s="49">
        <v>28</v>
      </c>
      <c r="AH27" s="38">
        <v>160</v>
      </c>
      <c r="AI27" s="34"/>
    </row>
    <row r="28" spans="1:35" ht="15.75" customHeight="1" x14ac:dyDescent="0.15">
      <c r="A28" s="1">
        <v>24</v>
      </c>
      <c r="B28" s="20" t="s">
        <v>69</v>
      </c>
      <c r="C28" s="20" t="s">
        <v>70</v>
      </c>
      <c r="D28" s="21"/>
      <c r="E28" s="22"/>
      <c r="F28" s="22">
        <v>18</v>
      </c>
      <c r="G28" s="22"/>
      <c r="H28" s="23"/>
      <c r="I28" s="21"/>
      <c r="J28" s="22"/>
      <c r="K28" s="22"/>
      <c r="L28" s="22"/>
      <c r="M28" s="23"/>
      <c r="N28" s="21"/>
      <c r="O28" s="22"/>
      <c r="P28" s="22"/>
      <c r="Q28" s="22"/>
      <c r="R28" s="23"/>
      <c r="S28" s="21"/>
      <c r="T28" s="22"/>
      <c r="U28" s="22"/>
      <c r="V28" s="22"/>
      <c r="W28" s="23"/>
      <c r="X28" s="21"/>
      <c r="Y28" s="36"/>
      <c r="Z28" s="36"/>
      <c r="AA28" s="22"/>
      <c r="AB28" s="22"/>
      <c r="AC28" s="49">
        <v>2</v>
      </c>
      <c r="AD28" s="49" t="str">
        <f t="shared" si="0"/>
        <v>●</v>
      </c>
      <c r="AE28" s="64" t="str">
        <f t="shared" si="1"/>
        <v>27</v>
      </c>
      <c r="AF28" s="50" t="s">
        <v>71</v>
      </c>
      <c r="AG28" s="49">
        <v>18</v>
      </c>
      <c r="AH28" s="38">
        <v>122</v>
      </c>
      <c r="AI28" s="34"/>
    </row>
    <row r="29" spans="1:35" ht="15.75" customHeight="1" x14ac:dyDescent="0.15">
      <c r="A29" s="1">
        <v>25</v>
      </c>
      <c r="B29" s="20" t="s">
        <v>72</v>
      </c>
      <c r="C29" s="20" t="s">
        <v>73</v>
      </c>
      <c r="D29" s="21"/>
      <c r="E29" s="22"/>
      <c r="F29" s="22"/>
      <c r="G29" s="22">
        <v>10</v>
      </c>
      <c r="H29" s="23"/>
      <c r="I29" s="21"/>
      <c r="J29" s="22"/>
      <c r="K29" s="22"/>
      <c r="L29" s="22"/>
      <c r="M29" s="23"/>
      <c r="N29" s="21"/>
      <c r="O29" s="22"/>
      <c r="P29" s="22"/>
      <c r="Q29" s="22"/>
      <c r="R29" s="23"/>
      <c r="S29" s="21"/>
      <c r="T29" s="22"/>
      <c r="U29" s="22"/>
      <c r="V29" s="22"/>
      <c r="W29" s="23"/>
      <c r="X29" s="21"/>
      <c r="Y29" s="36"/>
      <c r="Z29" s="36"/>
      <c r="AA29" s="22"/>
      <c r="AB29" s="22"/>
      <c r="AC29" s="49">
        <v>2</v>
      </c>
      <c r="AD29" s="49" t="str">
        <f t="shared" si="0"/>
        <v>●</v>
      </c>
      <c r="AE29" s="64" t="str">
        <f t="shared" si="1"/>
        <v>26</v>
      </c>
      <c r="AF29" s="50" t="s">
        <v>74</v>
      </c>
      <c r="AG29" s="49">
        <v>15</v>
      </c>
      <c r="AH29" s="38">
        <v>162</v>
      </c>
      <c r="AI29" s="34"/>
    </row>
    <row r="30" spans="1:35" ht="15.75" customHeight="1" x14ac:dyDescent="0.15">
      <c r="A30" s="1">
        <v>26</v>
      </c>
      <c r="B30" s="20" t="s">
        <v>75</v>
      </c>
      <c r="C30" s="20" t="s">
        <v>76</v>
      </c>
      <c r="D30" s="21"/>
      <c r="E30" s="22"/>
      <c r="F30" s="22"/>
      <c r="G30" s="22">
        <v>3</v>
      </c>
      <c r="H30" s="23"/>
      <c r="I30" s="21"/>
      <c r="J30" s="22"/>
      <c r="K30" s="22"/>
      <c r="L30" s="22"/>
      <c r="M30" s="23"/>
      <c r="N30" s="21"/>
      <c r="O30" s="22"/>
      <c r="P30" s="22"/>
      <c r="Q30" s="22"/>
      <c r="R30" s="23"/>
      <c r="S30" s="21"/>
      <c r="T30" s="22"/>
      <c r="U30" s="22"/>
      <c r="V30" s="22"/>
      <c r="W30" s="23"/>
      <c r="X30" s="21"/>
      <c r="Y30" s="36"/>
      <c r="Z30" s="36"/>
      <c r="AA30" s="22"/>
      <c r="AB30" s="22"/>
      <c r="AC30" s="49">
        <v>2</v>
      </c>
      <c r="AD30" s="49" t="str">
        <f t="shared" si="0"/>
        <v>●</v>
      </c>
      <c r="AE30" s="64" t="str">
        <f t="shared" si="1"/>
        <v>25</v>
      </c>
      <c r="AF30" s="50" t="s">
        <v>77</v>
      </c>
      <c r="AG30" s="49">
        <v>15</v>
      </c>
      <c r="AH30" s="38">
        <v>120</v>
      </c>
      <c r="AI30" s="34"/>
    </row>
    <row r="31" spans="1:35" ht="15.75" customHeight="1" x14ac:dyDescent="0.15">
      <c r="A31" s="1">
        <v>27</v>
      </c>
      <c r="B31" s="20" t="s">
        <v>78</v>
      </c>
      <c r="C31" s="20" t="s">
        <v>79</v>
      </c>
      <c r="D31" s="21"/>
      <c r="E31" s="22"/>
      <c r="F31" s="22"/>
      <c r="G31" s="22"/>
      <c r="H31" s="23"/>
      <c r="I31" s="21">
        <v>50</v>
      </c>
      <c r="J31" s="22"/>
      <c r="K31" s="22"/>
      <c r="L31" s="22"/>
      <c r="M31" s="23"/>
      <c r="N31" s="21">
        <v>50</v>
      </c>
      <c r="O31" s="22"/>
      <c r="P31" s="22"/>
      <c r="Q31" s="22"/>
      <c r="R31" s="23"/>
      <c r="S31" s="21">
        <v>50</v>
      </c>
      <c r="T31" s="22"/>
      <c r="U31" s="22"/>
      <c r="V31" s="22"/>
      <c r="W31" s="23"/>
      <c r="X31" s="21">
        <v>50</v>
      </c>
      <c r="Y31" s="36"/>
      <c r="Z31" s="36"/>
      <c r="AA31" s="22"/>
      <c r="AB31" s="22"/>
      <c r="AC31" s="49">
        <v>3</v>
      </c>
      <c r="AD31" s="49" t="str">
        <f t="shared" si="0"/>
        <v>●</v>
      </c>
      <c r="AE31" s="64" t="str">
        <f t="shared" si="1"/>
        <v>25</v>
      </c>
      <c r="AF31" s="50" t="s">
        <v>77</v>
      </c>
      <c r="AG31" s="49">
        <v>17.5</v>
      </c>
      <c r="AH31" s="38">
        <v>101</v>
      </c>
      <c r="AI31" s="34"/>
    </row>
    <row r="32" spans="1:35" ht="15.75" customHeight="1" x14ac:dyDescent="0.15">
      <c r="A32" s="1">
        <v>28</v>
      </c>
      <c r="B32" s="20" t="s">
        <v>80</v>
      </c>
      <c r="C32" s="20" t="s">
        <v>81</v>
      </c>
      <c r="D32" s="21"/>
      <c r="E32" s="22"/>
      <c r="F32" s="22">
        <v>30</v>
      </c>
      <c r="G32" s="22"/>
      <c r="H32" s="23">
        <v>30</v>
      </c>
      <c r="I32" s="21"/>
      <c r="J32" s="22"/>
      <c r="K32" s="22"/>
      <c r="L32" s="22"/>
      <c r="M32" s="23"/>
      <c r="N32" s="21"/>
      <c r="O32" s="22"/>
      <c r="P32" s="22"/>
      <c r="Q32" s="22"/>
      <c r="R32" s="23"/>
      <c r="S32" s="21"/>
      <c r="T32" s="22"/>
      <c r="U32" s="22"/>
      <c r="V32" s="22"/>
      <c r="W32" s="23"/>
      <c r="X32" s="21"/>
      <c r="Y32" s="36"/>
      <c r="Z32" s="36"/>
      <c r="AA32" s="22"/>
      <c r="AB32" s="22"/>
      <c r="AC32" s="49">
        <v>2</v>
      </c>
      <c r="AD32" s="49" t="str">
        <f t="shared" si="0"/>
        <v>●</v>
      </c>
      <c r="AE32" s="64" t="str">
        <f t="shared" si="1"/>
        <v>25</v>
      </c>
      <c r="AF32" s="50" t="s">
        <v>77</v>
      </c>
      <c r="AG32" s="49">
        <v>61</v>
      </c>
      <c r="AH32" s="38">
        <v>128</v>
      </c>
      <c r="AI32" s="34"/>
    </row>
    <row r="33" spans="1:35" ht="15.75" customHeight="1" x14ac:dyDescent="0.15">
      <c r="A33" s="1">
        <v>29</v>
      </c>
      <c r="B33" s="20" t="s">
        <v>82</v>
      </c>
      <c r="C33" s="20" t="s">
        <v>83</v>
      </c>
      <c r="D33" s="21"/>
      <c r="E33" s="22"/>
      <c r="F33" s="22"/>
      <c r="G33" s="22"/>
      <c r="H33" s="23"/>
      <c r="I33" s="21">
        <v>12</v>
      </c>
      <c r="J33" s="22">
        <v>8</v>
      </c>
      <c r="K33" s="22">
        <v>4</v>
      </c>
      <c r="L33" s="22"/>
      <c r="M33" s="23"/>
      <c r="N33" s="21">
        <v>12</v>
      </c>
      <c r="O33" s="22">
        <v>8</v>
      </c>
      <c r="P33" s="22">
        <v>4</v>
      </c>
      <c r="Q33" s="22"/>
      <c r="R33" s="23"/>
      <c r="S33" s="21">
        <v>12</v>
      </c>
      <c r="T33" s="22">
        <v>8</v>
      </c>
      <c r="U33" s="22">
        <v>4</v>
      </c>
      <c r="V33" s="22"/>
      <c r="W33" s="23"/>
      <c r="X33" s="21">
        <v>12</v>
      </c>
      <c r="Y33" s="36"/>
      <c r="Z33" s="36"/>
      <c r="AA33" s="22">
        <v>8</v>
      </c>
      <c r="AB33" s="22">
        <v>4</v>
      </c>
      <c r="AC33" s="49">
        <v>2</v>
      </c>
      <c r="AD33" s="49" t="str">
        <f t="shared" si="0"/>
        <v>●</v>
      </c>
      <c r="AE33" s="64" t="str">
        <f t="shared" si="1"/>
        <v>19</v>
      </c>
      <c r="AF33" s="50" t="s">
        <v>84</v>
      </c>
      <c r="AG33" s="49">
        <v>119</v>
      </c>
      <c r="AH33" s="38">
        <v>46</v>
      </c>
      <c r="AI33" s="34"/>
    </row>
    <row r="34" spans="1:35" ht="15.75" customHeight="1" x14ac:dyDescent="0.15">
      <c r="A34" s="1">
        <v>30</v>
      </c>
      <c r="B34" s="20" t="s">
        <v>85</v>
      </c>
      <c r="C34" s="20" t="s">
        <v>86</v>
      </c>
      <c r="D34" s="21"/>
      <c r="E34" s="22"/>
      <c r="F34" s="22"/>
      <c r="G34" s="22"/>
      <c r="H34" s="23"/>
      <c r="I34" s="21"/>
      <c r="J34" s="22">
        <v>48</v>
      </c>
      <c r="K34" s="22"/>
      <c r="L34" s="22"/>
      <c r="M34" s="23"/>
      <c r="N34" s="21"/>
      <c r="O34" s="22">
        <v>48</v>
      </c>
      <c r="P34" s="22"/>
      <c r="Q34" s="22"/>
      <c r="R34" s="23"/>
      <c r="S34" s="21"/>
      <c r="T34" s="22">
        <v>48</v>
      </c>
      <c r="U34" s="22"/>
      <c r="V34" s="22"/>
      <c r="W34" s="23"/>
      <c r="X34" s="21"/>
      <c r="Y34" s="36"/>
      <c r="Z34" s="36"/>
      <c r="AA34" s="22">
        <v>48</v>
      </c>
      <c r="AB34" s="22"/>
      <c r="AC34" s="49">
        <v>3</v>
      </c>
      <c r="AD34" s="49" t="str">
        <f t="shared" si="0"/>
        <v>●</v>
      </c>
      <c r="AE34" s="64" t="str">
        <f t="shared" si="1"/>
        <v>8</v>
      </c>
      <c r="AF34" s="50" t="s">
        <v>87</v>
      </c>
      <c r="AG34" s="49">
        <v>80</v>
      </c>
      <c r="AH34" s="38">
        <v>41</v>
      </c>
      <c r="AI34" s="34"/>
    </row>
    <row r="35" spans="1:35" ht="15.75" customHeight="1" x14ac:dyDescent="0.15">
      <c r="A35" s="1">
        <v>31</v>
      </c>
      <c r="B35" s="20" t="s">
        <v>88</v>
      </c>
      <c r="C35" s="20" t="s">
        <v>89</v>
      </c>
      <c r="D35" s="21"/>
      <c r="E35" s="22"/>
      <c r="F35" s="22"/>
      <c r="G35" s="22">
        <v>17</v>
      </c>
      <c r="H35" s="23"/>
      <c r="I35" s="21"/>
      <c r="J35" s="22"/>
      <c r="K35" s="22"/>
      <c r="L35" s="22"/>
      <c r="M35" s="23"/>
      <c r="N35" s="21"/>
      <c r="O35" s="22"/>
      <c r="P35" s="22"/>
      <c r="Q35" s="22"/>
      <c r="R35" s="23"/>
      <c r="S35" s="21"/>
      <c r="T35" s="22"/>
      <c r="U35" s="22"/>
      <c r="V35" s="22"/>
      <c r="W35" s="23"/>
      <c r="X35" s="21"/>
      <c r="Y35" s="36"/>
      <c r="Z35" s="36"/>
      <c r="AA35" s="22"/>
      <c r="AB35" s="22"/>
      <c r="AC35" s="49">
        <v>2</v>
      </c>
      <c r="AD35" s="49" t="str">
        <f t="shared" si="0"/>
        <v>H</v>
      </c>
      <c r="AE35" s="64" t="str">
        <f t="shared" si="1"/>
        <v>30</v>
      </c>
      <c r="AF35" s="50" t="s">
        <v>90</v>
      </c>
      <c r="AG35" s="49">
        <v>40</v>
      </c>
      <c r="AH35" s="38">
        <v>170</v>
      </c>
      <c r="AI35" s="34"/>
    </row>
    <row r="36" spans="1:35" ht="15.75" customHeight="1" x14ac:dyDescent="0.15">
      <c r="A36" s="1">
        <v>32</v>
      </c>
      <c r="B36" s="20" t="s">
        <v>91</v>
      </c>
      <c r="C36" s="20" t="s">
        <v>92</v>
      </c>
      <c r="D36" s="21"/>
      <c r="E36" s="22"/>
      <c r="F36" s="22"/>
      <c r="G36" s="22"/>
      <c r="H36" s="23"/>
      <c r="I36" s="21"/>
      <c r="J36" s="22"/>
      <c r="K36" s="22">
        <v>5</v>
      </c>
      <c r="L36" s="22"/>
      <c r="M36" s="23"/>
      <c r="N36" s="21"/>
      <c r="O36" s="22"/>
      <c r="P36" s="22">
        <v>5</v>
      </c>
      <c r="Q36" s="22"/>
      <c r="R36" s="23"/>
      <c r="S36" s="21"/>
      <c r="T36" s="22"/>
      <c r="U36" s="22">
        <v>5</v>
      </c>
      <c r="V36" s="22"/>
      <c r="W36" s="23"/>
      <c r="X36" s="21"/>
      <c r="Y36" s="36"/>
      <c r="Z36" s="36"/>
      <c r="AA36" s="22"/>
      <c r="AB36" s="22">
        <v>5</v>
      </c>
      <c r="AC36" s="49">
        <v>2</v>
      </c>
      <c r="AD36" s="49" t="str">
        <f t="shared" si="0"/>
        <v>H</v>
      </c>
      <c r="AE36" s="64" t="str">
        <f t="shared" si="1"/>
        <v>30</v>
      </c>
      <c r="AF36" s="50" t="s">
        <v>90</v>
      </c>
      <c r="AG36" s="49">
        <v>30</v>
      </c>
      <c r="AH36" s="38">
        <v>187</v>
      </c>
      <c r="AI36" s="34"/>
    </row>
    <row r="37" spans="1:35" ht="15.75" customHeight="1" x14ac:dyDescent="0.15">
      <c r="A37" s="1">
        <v>33</v>
      </c>
      <c r="B37" s="20" t="s">
        <v>93</v>
      </c>
      <c r="C37" s="20" t="s">
        <v>94</v>
      </c>
      <c r="D37" s="21"/>
      <c r="E37" s="22"/>
      <c r="F37" s="22"/>
      <c r="G37" s="22">
        <v>60</v>
      </c>
      <c r="H37" s="23"/>
      <c r="I37" s="21"/>
      <c r="J37" s="22"/>
      <c r="K37" s="22"/>
      <c r="L37" s="22"/>
      <c r="M37" s="23"/>
      <c r="N37" s="21"/>
      <c r="O37" s="22"/>
      <c r="P37" s="22"/>
      <c r="Q37" s="22"/>
      <c r="R37" s="23"/>
      <c r="S37" s="21"/>
      <c r="T37" s="22"/>
      <c r="U37" s="22"/>
      <c r="V37" s="22"/>
      <c r="W37" s="23"/>
      <c r="X37" s="21"/>
      <c r="Y37" s="36"/>
      <c r="Z37" s="36"/>
      <c r="AA37" s="22"/>
      <c r="AB37" s="22"/>
      <c r="AC37" s="49">
        <v>3</v>
      </c>
      <c r="AD37" s="49" t="str">
        <f t="shared" si="0"/>
        <v>H</v>
      </c>
      <c r="AE37" s="64" t="str">
        <f t="shared" si="1"/>
        <v>30</v>
      </c>
      <c r="AF37" s="50" t="s">
        <v>90</v>
      </c>
      <c r="AG37" s="49">
        <v>31</v>
      </c>
      <c r="AH37" s="38">
        <v>130</v>
      </c>
      <c r="AI37" s="34"/>
    </row>
    <row r="38" spans="1:35" ht="15.75" customHeight="1" x14ac:dyDescent="0.15">
      <c r="A38" s="1">
        <v>34</v>
      </c>
      <c r="B38" s="20" t="s">
        <v>95</v>
      </c>
      <c r="C38" s="20" t="s">
        <v>96</v>
      </c>
      <c r="D38" s="21">
        <v>10</v>
      </c>
      <c r="E38" s="22"/>
      <c r="F38" s="22"/>
      <c r="G38" s="22"/>
      <c r="H38" s="23"/>
      <c r="I38" s="21">
        <v>2</v>
      </c>
      <c r="J38" s="22">
        <v>4</v>
      </c>
      <c r="K38" s="22">
        <v>4</v>
      </c>
      <c r="L38" s="22"/>
      <c r="M38" s="23"/>
      <c r="N38" s="21">
        <v>2</v>
      </c>
      <c r="O38" s="22">
        <v>4</v>
      </c>
      <c r="P38" s="22">
        <v>4</v>
      </c>
      <c r="Q38" s="22"/>
      <c r="R38" s="23"/>
      <c r="S38" s="21">
        <v>2</v>
      </c>
      <c r="T38" s="22">
        <v>4</v>
      </c>
      <c r="U38" s="22">
        <v>4</v>
      </c>
      <c r="V38" s="22"/>
      <c r="W38" s="23"/>
      <c r="X38" s="21">
        <v>2</v>
      </c>
      <c r="Y38" s="36"/>
      <c r="Z38" s="36"/>
      <c r="AA38" s="22">
        <v>4</v>
      </c>
      <c r="AB38" s="22">
        <v>4</v>
      </c>
      <c r="AC38" s="49">
        <v>2</v>
      </c>
      <c r="AD38" s="49" t="str">
        <f t="shared" si="0"/>
        <v>H</v>
      </c>
      <c r="AE38" s="64" t="str">
        <f t="shared" si="1"/>
        <v>24</v>
      </c>
      <c r="AF38" s="50" t="s">
        <v>97</v>
      </c>
      <c r="AG38" s="49">
        <v>30</v>
      </c>
      <c r="AH38" s="38">
        <v>117</v>
      </c>
      <c r="AI38" s="34"/>
    </row>
    <row r="39" spans="1:35" ht="15.75" customHeight="1" x14ac:dyDescent="0.15">
      <c r="A39" s="1">
        <v>35</v>
      </c>
      <c r="B39" s="20" t="s">
        <v>98</v>
      </c>
      <c r="C39" s="20" t="s">
        <v>99</v>
      </c>
      <c r="D39" s="21"/>
      <c r="E39" s="22"/>
      <c r="F39" s="22"/>
      <c r="G39" s="22"/>
      <c r="H39" s="23"/>
      <c r="I39" s="21">
        <v>2</v>
      </c>
      <c r="J39" s="22">
        <v>2</v>
      </c>
      <c r="K39" s="22">
        <v>2</v>
      </c>
      <c r="L39" s="22"/>
      <c r="M39" s="23"/>
      <c r="N39" s="21">
        <v>2</v>
      </c>
      <c r="O39" s="22">
        <v>2</v>
      </c>
      <c r="P39" s="22">
        <v>2</v>
      </c>
      <c r="Q39" s="22"/>
      <c r="R39" s="23"/>
      <c r="S39" s="21">
        <v>2</v>
      </c>
      <c r="T39" s="22">
        <v>2</v>
      </c>
      <c r="U39" s="22">
        <v>2</v>
      </c>
      <c r="V39" s="22"/>
      <c r="W39" s="23"/>
      <c r="X39" s="21">
        <v>2</v>
      </c>
      <c r="Y39" s="36"/>
      <c r="Z39" s="36"/>
      <c r="AA39" s="22">
        <v>2</v>
      </c>
      <c r="AB39" s="22">
        <v>2</v>
      </c>
      <c r="AC39" s="49">
        <v>2</v>
      </c>
      <c r="AD39" s="49" t="str">
        <f t="shared" si="0"/>
        <v>H</v>
      </c>
      <c r="AE39" s="64" t="str">
        <f t="shared" si="1"/>
        <v>24</v>
      </c>
      <c r="AF39" s="50" t="s">
        <v>97</v>
      </c>
      <c r="AG39" s="49">
        <v>30</v>
      </c>
      <c r="AH39" s="38">
        <v>117</v>
      </c>
      <c r="AI39" s="34"/>
    </row>
    <row r="40" spans="1:35" ht="15.75" customHeight="1" x14ac:dyDescent="0.15">
      <c r="A40" s="1">
        <v>36</v>
      </c>
      <c r="B40" s="20" t="s">
        <v>100</v>
      </c>
      <c r="C40" s="20" t="s">
        <v>101</v>
      </c>
      <c r="D40" s="21">
        <v>21</v>
      </c>
      <c r="E40" s="22"/>
      <c r="F40" s="22">
        <v>30</v>
      </c>
      <c r="G40" s="22"/>
      <c r="H40" s="23"/>
      <c r="I40" s="21"/>
      <c r="J40" s="22"/>
      <c r="K40" s="22"/>
      <c r="L40" s="22"/>
      <c r="M40" s="23"/>
      <c r="N40" s="21"/>
      <c r="O40" s="22"/>
      <c r="P40" s="22"/>
      <c r="Q40" s="22"/>
      <c r="R40" s="23"/>
      <c r="S40" s="21"/>
      <c r="T40" s="22"/>
      <c r="U40" s="22"/>
      <c r="V40" s="22"/>
      <c r="W40" s="23"/>
      <c r="X40" s="21"/>
      <c r="Y40" s="36"/>
      <c r="Z40" s="36"/>
      <c r="AA40" s="22"/>
      <c r="AB40" s="22"/>
      <c r="AC40" s="49">
        <v>2</v>
      </c>
      <c r="AD40" s="49" t="str">
        <f t="shared" si="0"/>
        <v>H</v>
      </c>
      <c r="AE40" s="64" t="str">
        <f t="shared" si="1"/>
        <v>22</v>
      </c>
      <c r="AF40" s="50" t="s">
        <v>102</v>
      </c>
      <c r="AG40" s="49">
        <v>30</v>
      </c>
      <c r="AH40" s="38">
        <v>122</v>
      </c>
      <c r="AI40" s="34"/>
    </row>
    <row r="41" spans="1:35" ht="15.75" customHeight="1" x14ac:dyDescent="0.15">
      <c r="A41" s="1">
        <v>37</v>
      </c>
      <c r="B41" s="20" t="s">
        <v>103</v>
      </c>
      <c r="C41" s="20" t="s">
        <v>104</v>
      </c>
      <c r="D41" s="21"/>
      <c r="E41" s="22"/>
      <c r="F41" s="22"/>
      <c r="G41" s="22">
        <v>29</v>
      </c>
      <c r="H41" s="23"/>
      <c r="I41" s="21"/>
      <c r="J41" s="22"/>
      <c r="K41" s="22"/>
      <c r="L41" s="22"/>
      <c r="M41" s="23"/>
      <c r="N41" s="21"/>
      <c r="O41" s="22"/>
      <c r="P41" s="22"/>
      <c r="Q41" s="22"/>
      <c r="R41" s="23"/>
      <c r="S41" s="21"/>
      <c r="T41" s="22"/>
      <c r="U41" s="22"/>
      <c r="V41" s="22"/>
      <c r="W41" s="23"/>
      <c r="X41" s="21"/>
      <c r="Y41" s="36"/>
      <c r="Z41" s="36"/>
      <c r="AA41" s="22"/>
      <c r="AB41" s="22"/>
      <c r="AC41" s="49">
        <v>2</v>
      </c>
      <c r="AD41" s="49" t="str">
        <f t="shared" si="0"/>
        <v>H</v>
      </c>
      <c r="AE41" s="64" t="str">
        <f t="shared" si="1"/>
        <v>19</v>
      </c>
      <c r="AF41" s="50" t="s">
        <v>105</v>
      </c>
      <c r="AG41" s="49">
        <v>30</v>
      </c>
      <c r="AH41" s="38">
        <v>107</v>
      </c>
      <c r="AI41" s="34"/>
    </row>
    <row r="42" spans="1:35" ht="15.75" customHeight="1" x14ac:dyDescent="0.15">
      <c r="A42" s="1">
        <v>38</v>
      </c>
      <c r="B42" s="20" t="s">
        <v>106</v>
      </c>
      <c r="C42" s="20" t="s">
        <v>107</v>
      </c>
      <c r="D42" s="21"/>
      <c r="E42" s="22">
        <v>98</v>
      </c>
      <c r="F42" s="22"/>
      <c r="G42" s="22"/>
      <c r="H42" s="23"/>
      <c r="I42" s="21">
        <v>50</v>
      </c>
      <c r="J42" s="22"/>
      <c r="K42" s="22">
        <v>50</v>
      </c>
      <c r="L42" s="22"/>
      <c r="M42" s="23"/>
      <c r="N42" s="21">
        <v>50</v>
      </c>
      <c r="O42" s="22"/>
      <c r="P42" s="22">
        <v>50</v>
      </c>
      <c r="Q42" s="22"/>
      <c r="R42" s="23"/>
      <c r="S42" s="21">
        <v>50</v>
      </c>
      <c r="T42" s="22"/>
      <c r="U42" s="22">
        <v>50</v>
      </c>
      <c r="V42" s="22"/>
      <c r="W42" s="23"/>
      <c r="X42" s="21">
        <v>50</v>
      </c>
      <c r="Y42" s="36"/>
      <c r="Z42" s="36"/>
      <c r="AA42" s="22"/>
      <c r="AB42" s="22">
        <v>50</v>
      </c>
      <c r="AC42" s="49">
        <v>3</v>
      </c>
      <c r="AD42" s="49" t="str">
        <f t="shared" si="0"/>
        <v>H</v>
      </c>
      <c r="AE42" s="64" t="str">
        <f t="shared" si="1"/>
        <v>19</v>
      </c>
      <c r="AF42" s="50" t="s">
        <v>105</v>
      </c>
      <c r="AG42" s="49">
        <v>28</v>
      </c>
      <c r="AH42" s="38">
        <v>99</v>
      </c>
      <c r="AI42" s="34"/>
    </row>
    <row r="43" spans="1:35" ht="6" customHeight="1" x14ac:dyDescent="0.15">
      <c r="B43" s="52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53"/>
      <c r="AD43" s="53"/>
      <c r="AE43" s="53"/>
      <c r="AF43" s="54"/>
      <c r="AG43" s="53"/>
      <c r="AH43" s="3"/>
      <c r="AI43" s="7"/>
    </row>
    <row r="44" spans="1:35" s="45" customFormat="1" ht="15.75" customHeight="1" x14ac:dyDescent="0.15">
      <c r="A44" s="44"/>
      <c r="B44" s="51" t="s">
        <v>11</v>
      </c>
      <c r="C44" s="40" t="s">
        <v>12</v>
      </c>
      <c r="D44" s="55">
        <f>ROUND(SUMPRODUCT($AH5:$AH42,D5:D42)/3600,1)</f>
        <v>1.6</v>
      </c>
      <c r="E44" s="56">
        <f t="shared" ref="E44:AB44" si="2">ROUND(SUMPRODUCT($AH5:$AH42,E5:E42)/3600,1)</f>
        <v>2.7</v>
      </c>
      <c r="F44" s="56">
        <f t="shared" si="2"/>
        <v>3.1</v>
      </c>
      <c r="G44" s="56">
        <f t="shared" si="2"/>
        <v>12</v>
      </c>
      <c r="H44" s="57">
        <f t="shared" si="2"/>
        <v>5.2</v>
      </c>
      <c r="I44" s="55">
        <f t="shared" si="2"/>
        <v>5.4</v>
      </c>
      <c r="J44" s="56">
        <f t="shared" si="2"/>
        <v>10.9</v>
      </c>
      <c r="K44" s="56">
        <f t="shared" si="2"/>
        <v>12.7</v>
      </c>
      <c r="L44" s="56">
        <f t="shared" si="2"/>
        <v>0</v>
      </c>
      <c r="M44" s="57">
        <f t="shared" si="2"/>
        <v>0</v>
      </c>
      <c r="N44" s="55">
        <f t="shared" si="2"/>
        <v>5.4</v>
      </c>
      <c r="O44" s="56">
        <f t="shared" si="2"/>
        <v>10.9</v>
      </c>
      <c r="P44" s="56">
        <f t="shared" si="2"/>
        <v>12.7</v>
      </c>
      <c r="Q44" s="56">
        <f t="shared" si="2"/>
        <v>0</v>
      </c>
      <c r="R44" s="57">
        <f t="shared" si="2"/>
        <v>0</v>
      </c>
      <c r="S44" s="55">
        <f t="shared" si="2"/>
        <v>5.4</v>
      </c>
      <c r="T44" s="56">
        <f t="shared" si="2"/>
        <v>10.9</v>
      </c>
      <c r="U44" s="56">
        <f t="shared" si="2"/>
        <v>12.7</v>
      </c>
      <c r="V44" s="56">
        <f t="shared" si="2"/>
        <v>0</v>
      </c>
      <c r="W44" s="57">
        <f t="shared" si="2"/>
        <v>0</v>
      </c>
      <c r="X44" s="55">
        <f t="shared" si="2"/>
        <v>5.4</v>
      </c>
      <c r="Y44" s="56">
        <f t="shared" si="2"/>
        <v>0</v>
      </c>
      <c r="Z44" s="56">
        <f t="shared" si="2"/>
        <v>0</v>
      </c>
      <c r="AA44" s="56">
        <f t="shared" si="2"/>
        <v>10.9</v>
      </c>
      <c r="AB44" s="57">
        <f t="shared" si="2"/>
        <v>12.7</v>
      </c>
      <c r="AC44" s="46"/>
      <c r="AD44" s="46"/>
      <c r="AE44" s="46"/>
      <c r="AH44" s="46"/>
      <c r="AI44" s="47"/>
    </row>
    <row r="45" spans="1:35" s="45" customFormat="1" ht="15.75" customHeight="1" x14ac:dyDescent="0.15">
      <c r="A45" s="44"/>
      <c r="B45" s="47"/>
      <c r="C45" s="40" t="s">
        <v>13</v>
      </c>
      <c r="D45" s="58" cm="1">
        <f t="array" ref="D45">IF(COUNTA(D5:D42)=0,"",COUNTA(_xlfn.UNIQUE(_xlfn._xlws.FILTER($AF5:$AF42,D5:D42&lt;&gt;""))))</f>
        <v>4</v>
      </c>
      <c r="E45" s="59" cm="1">
        <f t="array" ref="E45">IF(COUNTA(E5:E42)=0,"",COUNTA(_xlfn.UNIQUE(_xlfn._xlws.FILTER($AF5:$AF42,E5:E42&lt;&gt;""))))</f>
        <v>1</v>
      </c>
      <c r="F45" s="59" cm="1">
        <f t="array" ref="F45">IF(COUNTA(F5:F42)=0,"",COUNTA(_xlfn.UNIQUE(_xlfn._xlws.FILTER($AF5:$AF42,F5:F42&lt;&gt;""))))</f>
        <v>4</v>
      </c>
      <c r="G45" s="59" cm="1">
        <f t="array" ref="G45">IF(COUNTA(G5:G42)=0,"",COUNTA(_xlfn.UNIQUE(_xlfn._xlws.FILTER($AF5:$AF42,G5:G42&lt;&gt;""))))</f>
        <v>8</v>
      </c>
      <c r="H45" s="57" cm="1">
        <f t="array" ref="H45">IF(COUNTA(H5:H42)=0,"",COUNTA(_xlfn.UNIQUE(_xlfn._xlws.FILTER($AF5:$AF42,H5:H42&lt;&gt;""))))</f>
        <v>4</v>
      </c>
      <c r="I45" s="58" cm="1">
        <f t="array" ref="I45">IF(COUNTA(I5:I42)=0,"",COUNTA(_xlfn.UNIQUE(_xlfn._xlws.FILTER($AF5:$AF42,I5:I42&lt;&gt;""))))</f>
        <v>10</v>
      </c>
      <c r="J45" s="59" cm="1">
        <f t="array" ref="J45">IF(COUNTA(J5:J42)=0,"",COUNTA(_xlfn.UNIQUE(_xlfn._xlws.FILTER($AF5:$AF42,J5:J42&lt;&gt;""))))</f>
        <v>8</v>
      </c>
      <c r="K45" s="59" cm="1">
        <f t="array" ref="K45">IF(COUNTA(K5:K42)=0,"",COUNTA(_xlfn.UNIQUE(_xlfn._xlws.FILTER($AF5:$AF42,K5:K42&lt;&gt;""))))</f>
        <v>9</v>
      </c>
      <c r="L45" s="59" t="str" cm="1">
        <f t="array" ref="L45">IF(COUNTA(L5:L42)=0,"",COUNTA(_xlfn.UNIQUE(_xlfn._xlws.FILTER($AF5:$AF42,L5:L42&lt;&gt;""))))</f>
        <v/>
      </c>
      <c r="M45" s="57" t="str" cm="1">
        <f t="array" ref="M45">IF(COUNTA(M5:M42)=0,"",COUNTA(_xlfn.UNIQUE(_xlfn._xlws.FILTER($AF5:$AF42,M5:M42&lt;&gt;""))))</f>
        <v/>
      </c>
      <c r="N45" s="58" cm="1">
        <f t="array" ref="N45">IF(COUNTA(N5:N42)=0,"",COUNTA(_xlfn.UNIQUE(_xlfn._xlws.FILTER($AF5:$AF42,N5:N42&lt;&gt;""))))</f>
        <v>10</v>
      </c>
      <c r="O45" s="59" cm="1">
        <f t="array" ref="O45">IF(COUNTA(O5:O42)=0,"",COUNTA(_xlfn.UNIQUE(_xlfn._xlws.FILTER($AF5:$AF42,O5:O42&lt;&gt;""))))</f>
        <v>8</v>
      </c>
      <c r="P45" s="59" cm="1">
        <f t="array" ref="P45">IF(COUNTA(P5:P42)=0,"",COUNTA(_xlfn.UNIQUE(_xlfn._xlws.FILTER($AF5:$AF42,P5:P42&lt;&gt;""))))</f>
        <v>9</v>
      </c>
      <c r="Q45" s="59" t="str" cm="1">
        <f t="array" ref="Q45">IF(COUNTA(Q5:Q42)=0,"",COUNTA(_xlfn.UNIQUE(_xlfn._xlws.FILTER($AF5:$AF42,Q5:Q42&lt;&gt;""))))</f>
        <v/>
      </c>
      <c r="R45" s="57" t="str" cm="1">
        <f t="array" ref="R45">IF(COUNTA(R5:R42)=0,"",COUNTA(_xlfn.UNIQUE(_xlfn._xlws.FILTER($AF5:$AF42,R5:R42&lt;&gt;""))))</f>
        <v/>
      </c>
      <c r="S45" s="58" cm="1">
        <f t="array" ref="S45">IF(COUNTA(S5:S42)=0,"",COUNTA(_xlfn.UNIQUE(_xlfn._xlws.FILTER($AF5:$AF42,S5:S42&lt;&gt;""))))</f>
        <v>10</v>
      </c>
      <c r="T45" s="59" cm="1">
        <f t="array" ref="T45">IF(COUNTA(T5:T42)=0,"",COUNTA(_xlfn.UNIQUE(_xlfn._xlws.FILTER($AF5:$AF42,T5:T42&lt;&gt;""))))</f>
        <v>8</v>
      </c>
      <c r="U45" s="59" cm="1">
        <f t="array" ref="U45">IF(COUNTA(U5:U42)=0,"",COUNTA(_xlfn.UNIQUE(_xlfn._xlws.FILTER($AF5:$AF42,U5:U42&lt;&gt;""))))</f>
        <v>9</v>
      </c>
      <c r="V45" s="59" t="str" cm="1">
        <f t="array" ref="V45">IF(COUNTA(V5:V42)=0,"",COUNTA(_xlfn.UNIQUE(_xlfn._xlws.FILTER($AF5:$AF42,V5:V42&lt;&gt;""))))</f>
        <v/>
      </c>
      <c r="W45" s="57" t="str" cm="1">
        <f t="array" ref="W45">IF(COUNTA(W5:W42)=0,"",COUNTA(_xlfn.UNIQUE(_xlfn._xlws.FILTER($AF5:$AF42,W5:W42&lt;&gt;""))))</f>
        <v/>
      </c>
      <c r="X45" s="58" cm="1">
        <f t="array" ref="X45">IF(COUNTA(X5:X42)=0,"",COUNTA(_xlfn.UNIQUE(_xlfn._xlws.FILTER($AF5:$AF42,X5:X42&lt;&gt;""))))</f>
        <v>10</v>
      </c>
      <c r="Y45" s="59" t="str" cm="1">
        <f t="array" ref="Y45">IF(COUNTA(Y5:Y42)=0,"",COUNTA(_xlfn.UNIQUE(_xlfn._xlws.FILTER($AF5:$AF42,Y5:Y42&lt;&gt;""))))</f>
        <v/>
      </c>
      <c r="Z45" s="59" t="str" cm="1">
        <f t="array" ref="Z45">IF(COUNTA(Z5:Z42)=0,"",COUNTA(_xlfn.UNIQUE(_xlfn._xlws.FILTER($AF5:$AF42,Z5:Z42&lt;&gt;""))))</f>
        <v/>
      </c>
      <c r="AA45" s="59" cm="1">
        <f t="array" ref="AA45">IF(COUNTA(AA5:AA42)=0,"",COUNTA(_xlfn.UNIQUE(_xlfn._xlws.FILTER($AF5:$AF42,AA5:AA42&lt;&gt;""))))</f>
        <v>8</v>
      </c>
      <c r="AB45" s="60" cm="1">
        <f t="array" ref="AB45">IF(COUNTA(AB5:AB42)=0,"",COUNTA(_xlfn.UNIQUE(_xlfn._xlws.FILTER($AF5:$AF42,AB5:AB42&lt;&gt;""))))</f>
        <v>9</v>
      </c>
      <c r="AC45" s="46"/>
      <c r="AD45" s="46"/>
      <c r="AE45" s="46"/>
      <c r="AF45" s="48"/>
      <c r="AH45" s="46"/>
      <c r="AI45" s="44"/>
    </row>
    <row r="46" spans="1:35" ht="21" x14ac:dyDescent="0.15">
      <c r="C46" s="39" t="s">
        <v>14</v>
      </c>
      <c r="D46" s="61">
        <f>IF(COUNTA(D5:D42)=0,"",D44+(D45*0.5))</f>
        <v>3.6</v>
      </c>
      <c r="E46" s="62">
        <f t="shared" ref="E46:AB46" si="3">IF(COUNTA(E5:E42)=0,"",E44+(E45*0.5))</f>
        <v>3.2</v>
      </c>
      <c r="F46" s="62">
        <f t="shared" si="3"/>
        <v>5.0999999999999996</v>
      </c>
      <c r="G46" s="62">
        <f t="shared" si="3"/>
        <v>16</v>
      </c>
      <c r="H46" s="63">
        <f t="shared" si="3"/>
        <v>7.2</v>
      </c>
      <c r="I46" s="61">
        <f t="shared" si="3"/>
        <v>10.4</v>
      </c>
      <c r="J46" s="62">
        <f t="shared" si="3"/>
        <v>14.9</v>
      </c>
      <c r="K46" s="62">
        <f t="shared" si="3"/>
        <v>17.2</v>
      </c>
      <c r="L46" s="62" t="str">
        <f t="shared" si="3"/>
        <v/>
      </c>
      <c r="M46" s="63" t="str">
        <f t="shared" si="3"/>
        <v/>
      </c>
      <c r="N46" s="61">
        <f t="shared" si="3"/>
        <v>10.4</v>
      </c>
      <c r="O46" s="62">
        <f t="shared" si="3"/>
        <v>14.9</v>
      </c>
      <c r="P46" s="62">
        <f t="shared" si="3"/>
        <v>17.2</v>
      </c>
      <c r="Q46" s="62" t="str">
        <f t="shared" si="3"/>
        <v/>
      </c>
      <c r="R46" s="63" t="str">
        <f t="shared" si="3"/>
        <v/>
      </c>
      <c r="S46" s="61">
        <f t="shared" si="3"/>
        <v>10.4</v>
      </c>
      <c r="T46" s="62">
        <f t="shared" si="3"/>
        <v>14.9</v>
      </c>
      <c r="U46" s="62">
        <f t="shared" si="3"/>
        <v>17.2</v>
      </c>
      <c r="V46" s="62" t="str">
        <f t="shared" si="3"/>
        <v/>
      </c>
      <c r="W46" s="63" t="str">
        <f t="shared" si="3"/>
        <v/>
      </c>
      <c r="X46" s="61">
        <f t="shared" si="3"/>
        <v>10.4</v>
      </c>
      <c r="Y46" s="62" t="str">
        <f t="shared" si="3"/>
        <v/>
      </c>
      <c r="Z46" s="62" t="str">
        <f t="shared" si="3"/>
        <v/>
      </c>
      <c r="AA46" s="62">
        <f t="shared" si="3"/>
        <v>14.9</v>
      </c>
      <c r="AB46" s="63">
        <f t="shared" si="3"/>
        <v>17.2</v>
      </c>
      <c r="AF46" s="37"/>
    </row>
  </sheetData>
  <phoneticPr fontId="2"/>
  <conditionalFormatting sqref="AC3:AH65512">
    <cfRule type="cellIs" dxfId="2" priority="1" stopIfTrue="1" operator="equal">
      <formula>0</formula>
    </cfRule>
  </conditionalFormatting>
  <pageMargins left="0.23622047244094491" right="0.23622047244094491" top="0.55118110236220474" bottom="0.15748031496062992" header="0.31496062992125984" footer="0.31496062992125984"/>
  <pageSetup paperSize="8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9AA5-32DF-496D-80A8-07E26446F133}">
  <sheetPr>
    <tabColor rgb="FFFF0000"/>
    <pageSetUpPr fitToPage="1"/>
  </sheetPr>
  <dimension ref="A1:V47"/>
  <sheetViews>
    <sheetView showZeros="0" view="pageBreakPreview" zoomScaleNormal="100" zoomScaleSheetLayoutView="100" workbookViewId="0"/>
  </sheetViews>
  <sheetFormatPr defaultRowHeight="12" x14ac:dyDescent="0.15"/>
  <cols>
    <col min="1" max="1" width="3.28515625" style="1" customWidth="1"/>
    <col min="2" max="2" width="18" style="1" customWidth="1"/>
    <col min="3" max="3" width="21.5703125" style="1" customWidth="1"/>
    <col min="4" max="8" width="5.140625" style="3" customWidth="1"/>
    <col min="9" max="9" width="4.7109375" style="4" customWidth="1"/>
    <col min="10" max="10" width="5" style="4" customWidth="1"/>
    <col min="11" max="15" width="5.140625" style="3" customWidth="1"/>
    <col min="16" max="16" width="4.7109375" style="3" customWidth="1"/>
    <col min="17" max="17" width="5.7109375" style="3" customWidth="1"/>
    <col min="18" max="19" width="4.140625" style="5" customWidth="1"/>
    <col min="20" max="20" width="2.7109375" customWidth="1"/>
    <col min="21" max="21" width="3.5703125" customWidth="1"/>
    <col min="22" max="22" width="5.140625" bestFit="1" customWidth="1"/>
  </cols>
  <sheetData>
    <row r="1" spans="1:22" ht="10.5" customHeight="1" x14ac:dyDescent="0.15">
      <c r="B1" s="2" t="s">
        <v>108</v>
      </c>
      <c r="T1" s="5">
        <v>23</v>
      </c>
      <c r="U1" s="5">
        <v>24</v>
      </c>
    </row>
    <row r="2" spans="1:22" ht="10.5" customHeight="1" x14ac:dyDescent="0.15">
      <c r="B2" s="2"/>
      <c r="T2" s="5"/>
      <c r="U2" s="5"/>
    </row>
    <row r="3" spans="1:22" ht="16.149999999999999" customHeight="1" x14ac:dyDescent="0.15">
      <c r="B3" s="6" t="s">
        <v>1</v>
      </c>
      <c r="C3" s="7"/>
      <c r="D3" s="1"/>
      <c r="E3" s="1"/>
      <c r="F3" s="1"/>
      <c r="G3" s="1"/>
      <c r="H3" s="1"/>
      <c r="I3" s="8"/>
      <c r="J3" s="9"/>
      <c r="K3" s="1"/>
      <c r="L3" s="1"/>
      <c r="M3" s="1"/>
      <c r="N3" s="1"/>
      <c r="O3" s="1"/>
      <c r="P3" s="1"/>
      <c r="Q3"/>
      <c r="R3" s="65" t="s">
        <v>109</v>
      </c>
      <c r="T3" s="5"/>
      <c r="U3" s="5"/>
    </row>
    <row r="4" spans="1:22" s="1" customFormat="1" ht="10.5" x14ac:dyDescent="0.15">
      <c r="B4" s="10" t="s">
        <v>2</v>
      </c>
      <c r="C4" s="10" t="s">
        <v>3</v>
      </c>
      <c r="D4" s="11" t="s">
        <v>110</v>
      </c>
      <c r="E4" s="12">
        <v>46133</v>
      </c>
      <c r="F4" s="12">
        <v>46134</v>
      </c>
      <c r="G4" s="12">
        <v>46135</v>
      </c>
      <c r="H4" s="13">
        <v>46136</v>
      </c>
      <c r="I4" s="14"/>
      <c r="J4" s="15"/>
      <c r="K4" s="11">
        <v>46139</v>
      </c>
      <c r="L4" s="12">
        <v>46140</v>
      </c>
      <c r="M4" s="12">
        <v>46141</v>
      </c>
      <c r="N4" s="12"/>
      <c r="O4" s="13"/>
      <c r="P4" s="16"/>
      <c r="Q4" s="17"/>
      <c r="R4" s="18" t="s">
        <v>7</v>
      </c>
      <c r="S4" s="18" t="s">
        <v>8</v>
      </c>
      <c r="T4" s="19" t="s">
        <v>4</v>
      </c>
      <c r="U4" s="10" t="s">
        <v>9</v>
      </c>
      <c r="V4" s="1" t="s">
        <v>111</v>
      </c>
    </row>
    <row r="5" spans="1:22" ht="15.75" customHeight="1" x14ac:dyDescent="0.15">
      <c r="A5" s="1">
        <v>1</v>
      </c>
      <c r="B5" s="20" t="s">
        <v>112</v>
      </c>
      <c r="C5" s="20" t="s">
        <v>43</v>
      </c>
      <c r="D5" s="21"/>
      <c r="E5" s="22"/>
      <c r="F5" s="22"/>
      <c r="G5" s="22">
        <v>120</v>
      </c>
      <c r="H5" s="23">
        <v>90</v>
      </c>
      <c r="I5" s="24">
        <f t="shared" ref="I5:I42" si="0">SUM(D5:H5)</f>
        <v>210</v>
      </c>
      <c r="J5" s="25">
        <f t="shared" ref="J5:J42" si="1">I5*U5/3600</f>
        <v>4.6083333333333334</v>
      </c>
      <c r="K5" s="21"/>
      <c r="L5" s="22"/>
      <c r="M5" s="22"/>
      <c r="N5" s="22"/>
      <c r="O5" s="23"/>
      <c r="P5" s="24">
        <f>SUM(K5:O5)</f>
        <v>0</v>
      </c>
      <c r="Q5" s="25">
        <f>P5*U5/3600</f>
        <v>0</v>
      </c>
      <c r="R5" s="18" t="s">
        <v>44</v>
      </c>
      <c r="S5" s="18">
        <v>65</v>
      </c>
      <c r="T5" s="18">
        <v>2</v>
      </c>
      <c r="U5" s="18">
        <v>79</v>
      </c>
      <c r="V5" s="1" t="s">
        <v>113</v>
      </c>
    </row>
    <row r="6" spans="1:22" ht="15.75" customHeight="1" x14ac:dyDescent="0.15">
      <c r="A6" s="1">
        <v>2</v>
      </c>
      <c r="B6" s="20" t="s">
        <v>45</v>
      </c>
      <c r="C6" s="20" t="s">
        <v>46</v>
      </c>
      <c r="D6" s="21"/>
      <c r="E6" s="22"/>
      <c r="F6" s="22"/>
      <c r="G6" s="22">
        <v>120</v>
      </c>
      <c r="H6" s="23">
        <v>90</v>
      </c>
      <c r="I6" s="24">
        <f t="shared" si="0"/>
        <v>210</v>
      </c>
      <c r="J6" s="25">
        <f t="shared" si="1"/>
        <v>4.6083333333333334</v>
      </c>
      <c r="K6" s="21"/>
      <c r="L6" s="22"/>
      <c r="M6" s="22"/>
      <c r="N6" s="22"/>
      <c r="O6" s="23"/>
      <c r="P6" s="24">
        <f t="shared" ref="P6:P42" si="2">SUM(K6:O6)</f>
        <v>0</v>
      </c>
      <c r="Q6" s="25">
        <f t="shared" ref="Q6:Q42" si="3">P6*U6/3600</f>
        <v>0</v>
      </c>
      <c r="R6" s="18" t="s">
        <v>44</v>
      </c>
      <c r="S6" s="18">
        <v>85</v>
      </c>
      <c r="T6" s="18">
        <v>2</v>
      </c>
      <c r="U6" s="18">
        <v>79</v>
      </c>
      <c r="V6" s="1" t="s">
        <v>113</v>
      </c>
    </row>
    <row r="7" spans="1:22" ht="15.75" customHeight="1" x14ac:dyDescent="0.15">
      <c r="A7" s="1">
        <v>3</v>
      </c>
      <c r="B7" s="20" t="s">
        <v>47</v>
      </c>
      <c r="C7" s="20" t="s">
        <v>48</v>
      </c>
      <c r="D7" s="21"/>
      <c r="E7" s="22"/>
      <c r="F7" s="22"/>
      <c r="G7" s="22"/>
      <c r="H7" s="23"/>
      <c r="I7" s="24">
        <f t="shared" si="0"/>
        <v>0</v>
      </c>
      <c r="J7" s="25">
        <f t="shared" si="1"/>
        <v>0</v>
      </c>
      <c r="K7" s="21"/>
      <c r="L7" s="22">
        <v>72</v>
      </c>
      <c r="M7" s="22">
        <v>72</v>
      </c>
      <c r="N7" s="22"/>
      <c r="O7" s="23"/>
      <c r="P7" s="24">
        <f t="shared" si="2"/>
        <v>144</v>
      </c>
      <c r="Q7" s="25">
        <f t="shared" si="3"/>
        <v>3.16</v>
      </c>
      <c r="R7" s="18" t="s">
        <v>44</v>
      </c>
      <c r="S7" s="18">
        <v>50</v>
      </c>
      <c r="T7" s="18">
        <v>2</v>
      </c>
      <c r="U7" s="18">
        <v>79</v>
      </c>
      <c r="V7" s="1" t="s">
        <v>113</v>
      </c>
    </row>
    <row r="8" spans="1:22" ht="15.75" customHeight="1" x14ac:dyDescent="0.15">
      <c r="A8" s="1">
        <v>4</v>
      </c>
      <c r="B8" s="20" t="s">
        <v>49</v>
      </c>
      <c r="C8" s="20" t="s">
        <v>48</v>
      </c>
      <c r="D8" s="21"/>
      <c r="E8" s="22"/>
      <c r="F8" s="22"/>
      <c r="G8" s="22"/>
      <c r="H8" s="23"/>
      <c r="I8" s="24">
        <f t="shared" si="0"/>
        <v>0</v>
      </c>
      <c r="J8" s="25">
        <f t="shared" si="1"/>
        <v>0</v>
      </c>
      <c r="K8" s="21">
        <v>54</v>
      </c>
      <c r="L8" s="22"/>
      <c r="M8" s="22"/>
      <c r="N8" s="22"/>
      <c r="O8" s="23"/>
      <c r="P8" s="24">
        <f t="shared" si="2"/>
        <v>54</v>
      </c>
      <c r="Q8" s="25">
        <f t="shared" si="3"/>
        <v>1.1850000000000001</v>
      </c>
      <c r="R8" s="18" t="s">
        <v>44</v>
      </c>
      <c r="S8" s="18">
        <v>50</v>
      </c>
      <c r="T8" s="18">
        <v>2</v>
      </c>
      <c r="U8" s="18">
        <v>79</v>
      </c>
      <c r="V8" s="1" t="s">
        <v>113</v>
      </c>
    </row>
    <row r="9" spans="1:22" ht="15.75" customHeight="1" x14ac:dyDescent="0.15">
      <c r="A9" s="1">
        <v>5</v>
      </c>
      <c r="B9" s="20" t="s">
        <v>88</v>
      </c>
      <c r="C9" s="20" t="s">
        <v>89</v>
      </c>
      <c r="D9" s="21"/>
      <c r="E9" s="22"/>
      <c r="F9" s="22"/>
      <c r="G9" s="22">
        <v>17</v>
      </c>
      <c r="H9" s="23"/>
      <c r="I9" s="24">
        <f t="shared" si="0"/>
        <v>17</v>
      </c>
      <c r="J9" s="25">
        <f t="shared" si="1"/>
        <v>0.80277777777777781</v>
      </c>
      <c r="K9" s="21"/>
      <c r="L9" s="22"/>
      <c r="M9" s="22"/>
      <c r="N9" s="22"/>
      <c r="O9" s="23"/>
      <c r="P9" s="24">
        <f t="shared" si="2"/>
        <v>0</v>
      </c>
      <c r="Q9" s="25">
        <f t="shared" si="3"/>
        <v>0</v>
      </c>
      <c r="R9" s="18" t="s">
        <v>90</v>
      </c>
      <c r="S9" s="18">
        <v>40</v>
      </c>
      <c r="T9" s="18">
        <v>2</v>
      </c>
      <c r="U9" s="18">
        <v>170</v>
      </c>
      <c r="V9" s="1" t="s">
        <v>113</v>
      </c>
    </row>
    <row r="10" spans="1:22" ht="15.75" customHeight="1" x14ac:dyDescent="0.15">
      <c r="A10" s="1">
        <v>6</v>
      </c>
      <c r="B10" s="20" t="s">
        <v>58</v>
      </c>
      <c r="C10" s="20" t="s">
        <v>59</v>
      </c>
      <c r="D10" s="21"/>
      <c r="E10" s="22"/>
      <c r="F10" s="22"/>
      <c r="G10" s="22"/>
      <c r="H10" s="23"/>
      <c r="I10" s="24">
        <f t="shared" si="0"/>
        <v>0</v>
      </c>
      <c r="J10" s="25">
        <f t="shared" si="1"/>
        <v>0</v>
      </c>
      <c r="K10" s="21"/>
      <c r="L10" s="22">
        <v>50</v>
      </c>
      <c r="M10" s="22"/>
      <c r="N10" s="22"/>
      <c r="O10" s="23"/>
      <c r="P10" s="24">
        <f t="shared" si="2"/>
        <v>50</v>
      </c>
      <c r="Q10" s="25">
        <f t="shared" si="3"/>
        <v>1.1388888888888888</v>
      </c>
      <c r="R10" s="18" t="s">
        <v>60</v>
      </c>
      <c r="S10" s="18">
        <v>48</v>
      </c>
      <c r="T10" s="18">
        <v>2</v>
      </c>
      <c r="U10" s="18">
        <v>82</v>
      </c>
      <c r="V10" s="1" t="s">
        <v>113</v>
      </c>
    </row>
    <row r="11" spans="1:22" ht="15.75" customHeight="1" x14ac:dyDescent="0.15">
      <c r="A11" s="1">
        <v>7</v>
      </c>
      <c r="B11" s="20" t="s">
        <v>72</v>
      </c>
      <c r="C11" s="20" t="s">
        <v>73</v>
      </c>
      <c r="D11" s="21"/>
      <c r="E11" s="22"/>
      <c r="F11" s="22"/>
      <c r="G11" s="22">
        <v>10</v>
      </c>
      <c r="H11" s="23"/>
      <c r="I11" s="24">
        <f t="shared" si="0"/>
        <v>10</v>
      </c>
      <c r="J11" s="25">
        <f t="shared" si="1"/>
        <v>0.45</v>
      </c>
      <c r="K11" s="21"/>
      <c r="L11" s="22"/>
      <c r="M11" s="22"/>
      <c r="N11" s="22"/>
      <c r="O11" s="23"/>
      <c r="P11" s="24">
        <f t="shared" si="2"/>
        <v>0</v>
      </c>
      <c r="Q11" s="25">
        <f t="shared" si="3"/>
        <v>0</v>
      </c>
      <c r="R11" s="18" t="s">
        <v>74</v>
      </c>
      <c r="S11" s="18">
        <v>15</v>
      </c>
      <c r="T11" s="18">
        <v>2</v>
      </c>
      <c r="U11" s="18">
        <v>162</v>
      </c>
      <c r="V11" s="1" t="s">
        <v>113</v>
      </c>
    </row>
    <row r="12" spans="1:22" ht="15.75" customHeight="1" x14ac:dyDescent="0.15">
      <c r="A12" s="1">
        <v>8</v>
      </c>
      <c r="B12" s="20" t="s">
        <v>103</v>
      </c>
      <c r="C12" s="20" t="s">
        <v>104</v>
      </c>
      <c r="D12" s="21"/>
      <c r="E12" s="22"/>
      <c r="F12" s="22"/>
      <c r="G12" s="22">
        <v>29</v>
      </c>
      <c r="H12" s="23"/>
      <c r="I12" s="24">
        <f t="shared" si="0"/>
        <v>29</v>
      </c>
      <c r="J12" s="25">
        <f t="shared" si="1"/>
        <v>0.8619444444444444</v>
      </c>
      <c r="K12" s="21"/>
      <c r="L12" s="22"/>
      <c r="M12" s="22"/>
      <c r="N12" s="22"/>
      <c r="O12" s="23"/>
      <c r="P12" s="24">
        <f t="shared" si="2"/>
        <v>0</v>
      </c>
      <c r="Q12" s="25">
        <f t="shared" si="3"/>
        <v>0</v>
      </c>
      <c r="R12" s="18" t="s">
        <v>105</v>
      </c>
      <c r="S12" s="18">
        <v>30</v>
      </c>
      <c r="T12" s="18">
        <v>2</v>
      </c>
      <c r="U12" s="18">
        <v>107</v>
      </c>
      <c r="V12" s="1" t="s">
        <v>113</v>
      </c>
    </row>
    <row r="13" spans="1:22" ht="15.75" customHeight="1" x14ac:dyDescent="0.15">
      <c r="A13" s="1">
        <v>9</v>
      </c>
      <c r="B13" s="20" t="s">
        <v>100</v>
      </c>
      <c r="C13" s="20" t="s">
        <v>101</v>
      </c>
      <c r="D13" s="21">
        <v>21</v>
      </c>
      <c r="E13" s="22"/>
      <c r="F13" s="22">
        <v>30</v>
      </c>
      <c r="G13" s="22"/>
      <c r="H13" s="23"/>
      <c r="I13" s="24">
        <f t="shared" si="0"/>
        <v>51</v>
      </c>
      <c r="J13" s="25">
        <f t="shared" si="1"/>
        <v>1.7283333333333333</v>
      </c>
      <c r="K13" s="21"/>
      <c r="L13" s="22"/>
      <c r="M13" s="22"/>
      <c r="N13" s="22"/>
      <c r="O13" s="23"/>
      <c r="P13" s="24">
        <f t="shared" si="2"/>
        <v>0</v>
      </c>
      <c r="Q13" s="25">
        <f t="shared" si="3"/>
        <v>0</v>
      </c>
      <c r="R13" s="18" t="s">
        <v>102</v>
      </c>
      <c r="S13" s="18">
        <v>30</v>
      </c>
      <c r="T13" s="18">
        <v>2</v>
      </c>
      <c r="U13" s="18">
        <v>122</v>
      </c>
      <c r="V13" s="1" t="s">
        <v>113</v>
      </c>
    </row>
    <row r="14" spans="1:22" ht="15.75" customHeight="1" x14ac:dyDescent="0.15">
      <c r="A14" s="1">
        <v>10</v>
      </c>
      <c r="B14" s="20" t="s">
        <v>31</v>
      </c>
      <c r="C14" s="20" t="s">
        <v>32</v>
      </c>
      <c r="D14" s="21"/>
      <c r="E14" s="22"/>
      <c r="F14" s="22"/>
      <c r="G14" s="22"/>
      <c r="H14" s="23"/>
      <c r="I14" s="24">
        <f t="shared" si="0"/>
        <v>0</v>
      </c>
      <c r="J14" s="25">
        <f t="shared" si="1"/>
        <v>0</v>
      </c>
      <c r="K14" s="21"/>
      <c r="L14" s="22"/>
      <c r="M14" s="22">
        <v>200</v>
      </c>
      <c r="N14" s="22"/>
      <c r="O14" s="23"/>
      <c r="P14" s="24">
        <f t="shared" si="2"/>
        <v>200</v>
      </c>
      <c r="Q14" s="25">
        <f t="shared" si="3"/>
        <v>5.5</v>
      </c>
      <c r="R14" s="18" t="s">
        <v>33</v>
      </c>
      <c r="S14" s="18">
        <v>32</v>
      </c>
      <c r="T14" s="18">
        <v>2</v>
      </c>
      <c r="U14" s="18">
        <v>99</v>
      </c>
      <c r="V14" s="1" t="s">
        <v>113</v>
      </c>
    </row>
    <row r="15" spans="1:22" ht="15.75" customHeight="1" x14ac:dyDescent="0.15">
      <c r="A15" s="1">
        <v>11</v>
      </c>
      <c r="B15" s="20" t="s">
        <v>69</v>
      </c>
      <c r="C15" s="20" t="s">
        <v>70</v>
      </c>
      <c r="D15" s="21"/>
      <c r="E15" s="22"/>
      <c r="F15" s="22">
        <v>18</v>
      </c>
      <c r="G15" s="22"/>
      <c r="H15" s="23"/>
      <c r="I15" s="24">
        <f t="shared" si="0"/>
        <v>18</v>
      </c>
      <c r="J15" s="25">
        <f t="shared" si="1"/>
        <v>0.61</v>
      </c>
      <c r="K15" s="21"/>
      <c r="L15" s="22"/>
      <c r="M15" s="22"/>
      <c r="N15" s="22"/>
      <c r="O15" s="23"/>
      <c r="P15" s="24">
        <f t="shared" si="2"/>
        <v>0</v>
      </c>
      <c r="Q15" s="25">
        <f t="shared" si="3"/>
        <v>0</v>
      </c>
      <c r="R15" s="18" t="s">
        <v>71</v>
      </c>
      <c r="S15" s="18">
        <v>18</v>
      </c>
      <c r="T15" s="18">
        <v>2</v>
      </c>
      <c r="U15" s="18">
        <v>122</v>
      </c>
      <c r="V15" s="1" t="s">
        <v>113</v>
      </c>
    </row>
    <row r="16" spans="1:22" ht="15.75" customHeight="1" x14ac:dyDescent="0.15">
      <c r="A16" s="1">
        <v>12</v>
      </c>
      <c r="B16" s="20" t="s">
        <v>55</v>
      </c>
      <c r="C16" s="20" t="s">
        <v>56</v>
      </c>
      <c r="D16" s="21"/>
      <c r="E16" s="22"/>
      <c r="F16" s="22"/>
      <c r="G16" s="22">
        <v>1</v>
      </c>
      <c r="H16" s="23"/>
      <c r="I16" s="24">
        <f t="shared" si="0"/>
        <v>1</v>
      </c>
      <c r="J16" s="25">
        <f t="shared" si="1"/>
        <v>1.1666666666666667E-2</v>
      </c>
      <c r="K16" s="21"/>
      <c r="L16" s="22"/>
      <c r="M16" s="22"/>
      <c r="N16" s="22"/>
      <c r="O16" s="23"/>
      <c r="P16" s="24">
        <f t="shared" si="2"/>
        <v>0</v>
      </c>
      <c r="Q16" s="25">
        <f t="shared" si="3"/>
        <v>0</v>
      </c>
      <c r="R16" s="18" t="s">
        <v>57</v>
      </c>
      <c r="S16" s="18">
        <v>410.5</v>
      </c>
      <c r="T16" s="18">
        <v>1</v>
      </c>
      <c r="U16" s="18">
        <v>42</v>
      </c>
      <c r="V16" s="1">
        <v>0</v>
      </c>
    </row>
    <row r="17" spans="1:22" ht="15.75" customHeight="1" x14ac:dyDescent="0.15">
      <c r="A17" s="1">
        <v>13</v>
      </c>
      <c r="B17" s="20" t="s">
        <v>75</v>
      </c>
      <c r="C17" s="20" t="s">
        <v>76</v>
      </c>
      <c r="D17" s="21"/>
      <c r="E17" s="22"/>
      <c r="F17" s="22"/>
      <c r="G17" s="22">
        <v>3</v>
      </c>
      <c r="H17" s="23"/>
      <c r="I17" s="24">
        <f t="shared" si="0"/>
        <v>3</v>
      </c>
      <c r="J17" s="25">
        <f t="shared" si="1"/>
        <v>0.1</v>
      </c>
      <c r="K17" s="21"/>
      <c r="L17" s="22"/>
      <c r="M17" s="22"/>
      <c r="N17" s="22"/>
      <c r="O17" s="23"/>
      <c r="P17" s="24">
        <f t="shared" si="2"/>
        <v>0</v>
      </c>
      <c r="Q17" s="25">
        <f t="shared" si="3"/>
        <v>0</v>
      </c>
      <c r="R17" s="18" t="s">
        <v>77</v>
      </c>
      <c r="S17" s="18">
        <v>15</v>
      </c>
      <c r="T17" s="18">
        <v>2</v>
      </c>
      <c r="U17" s="18">
        <v>120</v>
      </c>
      <c r="V17" s="1" t="s">
        <v>114</v>
      </c>
    </row>
    <row r="18" spans="1:22" ht="15.75" customHeight="1" x14ac:dyDescent="0.15">
      <c r="A18" s="1">
        <v>14</v>
      </c>
      <c r="B18" s="20" t="s">
        <v>50</v>
      </c>
      <c r="C18" s="20" t="s">
        <v>51</v>
      </c>
      <c r="D18" s="21"/>
      <c r="E18" s="22"/>
      <c r="F18" s="22"/>
      <c r="G18" s="22"/>
      <c r="H18" s="23"/>
      <c r="I18" s="24">
        <f t="shared" si="0"/>
        <v>0</v>
      </c>
      <c r="J18" s="25">
        <f t="shared" si="1"/>
        <v>0</v>
      </c>
      <c r="K18" s="21">
        <v>20</v>
      </c>
      <c r="L18" s="22"/>
      <c r="M18" s="22"/>
      <c r="N18" s="22"/>
      <c r="O18" s="23"/>
      <c r="P18" s="24">
        <f t="shared" si="2"/>
        <v>20</v>
      </c>
      <c r="Q18" s="25">
        <f t="shared" si="3"/>
        <v>0.28888888888888886</v>
      </c>
      <c r="R18" s="18" t="s">
        <v>52</v>
      </c>
      <c r="S18" s="18">
        <v>41</v>
      </c>
      <c r="T18" s="18">
        <v>1</v>
      </c>
      <c r="U18" s="18">
        <v>52</v>
      </c>
      <c r="V18" s="1">
        <v>0</v>
      </c>
    </row>
    <row r="19" spans="1:22" ht="15.75" customHeight="1" x14ac:dyDescent="0.15">
      <c r="A19" s="1">
        <v>15</v>
      </c>
      <c r="B19" s="20" t="s">
        <v>23</v>
      </c>
      <c r="C19" s="20" t="s">
        <v>24</v>
      </c>
      <c r="D19" s="21"/>
      <c r="E19" s="22"/>
      <c r="F19" s="22"/>
      <c r="G19" s="22"/>
      <c r="H19" s="23"/>
      <c r="I19" s="24">
        <f t="shared" si="0"/>
        <v>0</v>
      </c>
      <c r="J19" s="25">
        <f t="shared" si="1"/>
        <v>0</v>
      </c>
      <c r="K19" s="21">
        <v>10</v>
      </c>
      <c r="L19" s="22"/>
      <c r="M19" s="22"/>
      <c r="N19" s="22"/>
      <c r="O19" s="23"/>
      <c r="P19" s="24">
        <f t="shared" si="2"/>
        <v>10</v>
      </c>
      <c r="Q19" s="25">
        <f t="shared" si="3"/>
        <v>0.23333333333333334</v>
      </c>
      <c r="R19" s="18" t="s">
        <v>25</v>
      </c>
      <c r="S19" s="18">
        <v>45</v>
      </c>
      <c r="T19" s="18">
        <v>5</v>
      </c>
      <c r="U19" s="18">
        <v>84</v>
      </c>
      <c r="V19" s="1" t="s">
        <v>115</v>
      </c>
    </row>
    <row r="20" spans="1:22" ht="15.75" customHeight="1" x14ac:dyDescent="0.15">
      <c r="A20" s="1">
        <v>16</v>
      </c>
      <c r="B20" s="20" t="s">
        <v>95</v>
      </c>
      <c r="C20" s="20" t="s">
        <v>96</v>
      </c>
      <c r="D20" s="21">
        <v>10</v>
      </c>
      <c r="E20" s="22"/>
      <c r="F20" s="22"/>
      <c r="G20" s="22"/>
      <c r="H20" s="23"/>
      <c r="I20" s="24">
        <f t="shared" si="0"/>
        <v>10</v>
      </c>
      <c r="J20" s="25">
        <f t="shared" si="1"/>
        <v>0.32500000000000001</v>
      </c>
      <c r="K20" s="21">
        <v>2</v>
      </c>
      <c r="L20" s="22">
        <v>4</v>
      </c>
      <c r="M20" s="22">
        <v>4</v>
      </c>
      <c r="N20" s="22"/>
      <c r="O20" s="23"/>
      <c r="P20" s="24">
        <f t="shared" si="2"/>
        <v>10</v>
      </c>
      <c r="Q20" s="25">
        <f t="shared" si="3"/>
        <v>0.32500000000000001</v>
      </c>
      <c r="R20" s="18" t="s">
        <v>97</v>
      </c>
      <c r="S20" s="18">
        <v>30</v>
      </c>
      <c r="T20" s="18">
        <v>2</v>
      </c>
      <c r="U20" s="18">
        <v>117</v>
      </c>
      <c r="V20" s="1" t="s">
        <v>113</v>
      </c>
    </row>
    <row r="21" spans="1:22" ht="15.75" customHeight="1" x14ac:dyDescent="0.15">
      <c r="A21" s="1">
        <v>17</v>
      </c>
      <c r="B21" s="20" t="s">
        <v>98</v>
      </c>
      <c r="C21" s="20" t="s">
        <v>99</v>
      </c>
      <c r="D21" s="21"/>
      <c r="E21" s="22"/>
      <c r="F21" s="22"/>
      <c r="G21" s="22"/>
      <c r="H21" s="23"/>
      <c r="I21" s="24">
        <f t="shared" si="0"/>
        <v>0</v>
      </c>
      <c r="J21" s="25">
        <f t="shared" si="1"/>
        <v>0</v>
      </c>
      <c r="K21" s="21">
        <v>2</v>
      </c>
      <c r="L21" s="22">
        <v>2</v>
      </c>
      <c r="M21" s="22">
        <v>2</v>
      </c>
      <c r="N21" s="22"/>
      <c r="O21" s="23"/>
      <c r="P21" s="24">
        <f t="shared" si="2"/>
        <v>6</v>
      </c>
      <c r="Q21" s="25">
        <f t="shared" si="3"/>
        <v>0.19500000000000001</v>
      </c>
      <c r="R21" s="18" t="s">
        <v>97</v>
      </c>
      <c r="S21" s="18">
        <v>30</v>
      </c>
      <c r="T21" s="18">
        <v>2</v>
      </c>
      <c r="U21" s="18">
        <v>117</v>
      </c>
      <c r="V21" s="1" t="s">
        <v>113</v>
      </c>
    </row>
    <row r="22" spans="1:22" ht="15.75" customHeight="1" x14ac:dyDescent="0.15">
      <c r="A22" s="1">
        <v>18</v>
      </c>
      <c r="B22" s="20" t="s">
        <v>106</v>
      </c>
      <c r="C22" s="20" t="s">
        <v>107</v>
      </c>
      <c r="D22" s="21"/>
      <c r="E22" s="22">
        <v>98</v>
      </c>
      <c r="F22" s="22"/>
      <c r="G22" s="22"/>
      <c r="H22" s="23"/>
      <c r="I22" s="24">
        <f t="shared" si="0"/>
        <v>98</v>
      </c>
      <c r="J22" s="25">
        <f t="shared" si="1"/>
        <v>2.6949999999999998</v>
      </c>
      <c r="K22" s="21">
        <v>50</v>
      </c>
      <c r="L22" s="22"/>
      <c r="M22" s="22">
        <v>50</v>
      </c>
      <c r="N22" s="22"/>
      <c r="O22" s="23"/>
      <c r="P22" s="24">
        <f t="shared" si="2"/>
        <v>100</v>
      </c>
      <c r="Q22" s="25">
        <f t="shared" si="3"/>
        <v>2.75</v>
      </c>
      <c r="R22" s="18" t="s">
        <v>105</v>
      </c>
      <c r="S22" s="18">
        <v>28</v>
      </c>
      <c r="T22" s="18">
        <v>3</v>
      </c>
      <c r="U22" s="18">
        <v>99</v>
      </c>
      <c r="V22" s="1" t="s">
        <v>113</v>
      </c>
    </row>
    <row r="23" spans="1:22" ht="15.75" customHeight="1" x14ac:dyDescent="0.15">
      <c r="A23" s="1">
        <v>19</v>
      </c>
      <c r="B23" s="20" t="s">
        <v>91</v>
      </c>
      <c r="C23" s="20" t="s">
        <v>92</v>
      </c>
      <c r="D23" s="21"/>
      <c r="E23" s="22"/>
      <c r="F23" s="22"/>
      <c r="G23" s="22"/>
      <c r="H23" s="23"/>
      <c r="I23" s="24">
        <f t="shared" si="0"/>
        <v>0</v>
      </c>
      <c r="J23" s="25">
        <f t="shared" si="1"/>
        <v>0</v>
      </c>
      <c r="K23" s="21"/>
      <c r="L23" s="22"/>
      <c r="M23" s="22">
        <v>5</v>
      </c>
      <c r="N23" s="22"/>
      <c r="O23" s="23"/>
      <c r="P23" s="24">
        <f t="shared" si="2"/>
        <v>5</v>
      </c>
      <c r="Q23" s="25">
        <f t="shared" si="3"/>
        <v>0.25972222222222224</v>
      </c>
      <c r="R23" s="18" t="s">
        <v>90</v>
      </c>
      <c r="S23" s="18">
        <v>30</v>
      </c>
      <c r="T23" s="18">
        <v>2</v>
      </c>
      <c r="U23" s="18">
        <v>187</v>
      </c>
      <c r="V23" s="1" t="s">
        <v>115</v>
      </c>
    </row>
    <row r="24" spans="1:22" ht="15.75" customHeight="1" x14ac:dyDescent="0.15">
      <c r="A24" s="1">
        <v>20</v>
      </c>
      <c r="B24" s="20" t="s">
        <v>78</v>
      </c>
      <c r="C24" s="20" t="s">
        <v>79</v>
      </c>
      <c r="D24" s="21"/>
      <c r="E24" s="22"/>
      <c r="F24" s="22"/>
      <c r="G24" s="22"/>
      <c r="H24" s="23"/>
      <c r="I24" s="24">
        <f t="shared" si="0"/>
        <v>0</v>
      </c>
      <c r="J24" s="25">
        <f t="shared" si="1"/>
        <v>0</v>
      </c>
      <c r="K24" s="21">
        <v>50</v>
      </c>
      <c r="L24" s="22"/>
      <c r="M24" s="22"/>
      <c r="N24" s="22"/>
      <c r="O24" s="23"/>
      <c r="P24" s="24">
        <f t="shared" si="2"/>
        <v>50</v>
      </c>
      <c r="Q24" s="25">
        <f t="shared" si="3"/>
        <v>1.4027777777777777</v>
      </c>
      <c r="R24" s="18" t="s">
        <v>77</v>
      </c>
      <c r="S24" s="18">
        <v>17.5</v>
      </c>
      <c r="T24" s="18">
        <v>3</v>
      </c>
      <c r="U24" s="18">
        <v>101</v>
      </c>
      <c r="V24" s="1" t="s">
        <v>113</v>
      </c>
    </row>
    <row r="25" spans="1:22" ht="15.75" customHeight="1" x14ac:dyDescent="0.15">
      <c r="A25" s="1">
        <v>21</v>
      </c>
      <c r="B25" s="20" t="s">
        <v>116</v>
      </c>
      <c r="C25" s="20" t="s">
        <v>17</v>
      </c>
      <c r="D25" s="21"/>
      <c r="E25" s="22"/>
      <c r="F25" s="22"/>
      <c r="G25" s="22"/>
      <c r="H25" s="23">
        <v>8</v>
      </c>
      <c r="I25" s="24">
        <f t="shared" si="0"/>
        <v>8</v>
      </c>
      <c r="J25" s="25">
        <f t="shared" si="1"/>
        <v>0.17777777777777778</v>
      </c>
      <c r="K25" s="21"/>
      <c r="L25" s="22"/>
      <c r="M25" s="22">
        <v>8</v>
      </c>
      <c r="N25" s="22"/>
      <c r="O25" s="23"/>
      <c r="P25" s="24">
        <f t="shared" si="2"/>
        <v>8</v>
      </c>
      <c r="Q25" s="25">
        <f t="shared" si="3"/>
        <v>0.17777777777777778</v>
      </c>
      <c r="R25" s="18" t="s">
        <v>18</v>
      </c>
      <c r="S25" s="18">
        <v>0</v>
      </c>
      <c r="T25" s="18">
        <v>2</v>
      </c>
      <c r="U25" s="18">
        <v>80</v>
      </c>
      <c r="V25" s="1">
        <v>0</v>
      </c>
    </row>
    <row r="26" spans="1:22" ht="15.75" customHeight="1" x14ac:dyDescent="0.15">
      <c r="A26" s="1">
        <v>22</v>
      </c>
      <c r="B26" s="20" t="s">
        <v>64</v>
      </c>
      <c r="C26" s="20" t="s">
        <v>65</v>
      </c>
      <c r="D26" s="21"/>
      <c r="E26" s="22"/>
      <c r="F26" s="22"/>
      <c r="G26" s="22"/>
      <c r="H26" s="23"/>
      <c r="I26" s="24">
        <f t="shared" si="0"/>
        <v>0</v>
      </c>
      <c r="J26" s="25">
        <f t="shared" si="1"/>
        <v>0</v>
      </c>
      <c r="K26" s="21">
        <v>3</v>
      </c>
      <c r="L26" s="22"/>
      <c r="M26" s="22"/>
      <c r="N26" s="22"/>
      <c r="O26" s="23"/>
      <c r="P26" s="24">
        <f t="shared" si="2"/>
        <v>3</v>
      </c>
      <c r="Q26" s="25">
        <f t="shared" si="3"/>
        <v>0.14416666666666667</v>
      </c>
      <c r="R26" s="18" t="s">
        <v>66</v>
      </c>
      <c r="S26" s="18">
        <v>40</v>
      </c>
      <c r="T26" s="18">
        <v>2</v>
      </c>
      <c r="U26" s="18">
        <v>173</v>
      </c>
      <c r="V26" s="1" t="s">
        <v>115</v>
      </c>
    </row>
    <row r="27" spans="1:22" ht="15.75" customHeight="1" x14ac:dyDescent="0.15">
      <c r="A27" s="1">
        <v>23</v>
      </c>
      <c r="B27" s="20" t="s">
        <v>34</v>
      </c>
      <c r="C27" s="20" t="s">
        <v>35</v>
      </c>
      <c r="D27" s="21"/>
      <c r="E27" s="22"/>
      <c r="F27" s="22"/>
      <c r="G27" s="22"/>
      <c r="H27" s="23"/>
      <c r="I27" s="24">
        <f t="shared" si="0"/>
        <v>0</v>
      </c>
      <c r="J27" s="25">
        <f t="shared" si="1"/>
        <v>0</v>
      </c>
      <c r="K27" s="21">
        <v>19</v>
      </c>
      <c r="L27" s="22"/>
      <c r="M27" s="22"/>
      <c r="N27" s="22"/>
      <c r="O27" s="23"/>
      <c r="P27" s="24">
        <f t="shared" si="2"/>
        <v>19</v>
      </c>
      <c r="Q27" s="25">
        <f t="shared" si="3"/>
        <v>0.27444444444444444</v>
      </c>
      <c r="R27" s="18" t="s">
        <v>33</v>
      </c>
      <c r="S27" s="18">
        <v>42</v>
      </c>
      <c r="T27" s="18">
        <v>2</v>
      </c>
      <c r="U27" s="18">
        <v>52</v>
      </c>
      <c r="V27" s="1" t="s">
        <v>113</v>
      </c>
    </row>
    <row r="28" spans="1:22" ht="15.75" customHeight="1" x14ac:dyDescent="0.15">
      <c r="A28" s="1">
        <v>24</v>
      </c>
      <c r="B28" s="20" t="s">
        <v>26</v>
      </c>
      <c r="C28" s="20" t="s">
        <v>27</v>
      </c>
      <c r="D28" s="21"/>
      <c r="E28" s="22"/>
      <c r="F28" s="22"/>
      <c r="G28" s="22"/>
      <c r="H28" s="23"/>
      <c r="I28" s="24">
        <f t="shared" si="0"/>
        <v>0</v>
      </c>
      <c r="J28" s="25">
        <f t="shared" si="1"/>
        <v>0</v>
      </c>
      <c r="K28" s="21"/>
      <c r="L28" s="22">
        <v>20</v>
      </c>
      <c r="M28" s="22">
        <v>20</v>
      </c>
      <c r="N28" s="22"/>
      <c r="O28" s="23"/>
      <c r="P28" s="24">
        <f t="shared" si="2"/>
        <v>40</v>
      </c>
      <c r="Q28" s="25">
        <f t="shared" si="3"/>
        <v>1.0333333333333334</v>
      </c>
      <c r="R28" s="18" t="s">
        <v>25</v>
      </c>
      <c r="S28" s="18">
        <v>52</v>
      </c>
      <c r="T28" s="18">
        <v>2</v>
      </c>
      <c r="U28" s="18">
        <v>93</v>
      </c>
      <c r="V28" s="1" t="s">
        <v>113</v>
      </c>
    </row>
    <row r="29" spans="1:22" ht="15.75" customHeight="1" x14ac:dyDescent="0.15">
      <c r="A29" s="1">
        <v>25</v>
      </c>
      <c r="B29" s="20" t="s">
        <v>28</v>
      </c>
      <c r="C29" s="20" t="s">
        <v>27</v>
      </c>
      <c r="D29" s="21">
        <v>20</v>
      </c>
      <c r="E29" s="22"/>
      <c r="F29" s="22"/>
      <c r="G29" s="22">
        <v>20</v>
      </c>
      <c r="H29" s="23"/>
      <c r="I29" s="24">
        <f t="shared" si="0"/>
        <v>40</v>
      </c>
      <c r="J29" s="25">
        <f t="shared" si="1"/>
        <v>0.84444444444444444</v>
      </c>
      <c r="K29" s="21"/>
      <c r="L29" s="22"/>
      <c r="M29" s="22"/>
      <c r="N29" s="22"/>
      <c r="O29" s="23"/>
      <c r="P29" s="24">
        <f t="shared" si="2"/>
        <v>0</v>
      </c>
      <c r="Q29" s="25">
        <f t="shared" si="3"/>
        <v>0</v>
      </c>
      <c r="R29" s="18" t="s">
        <v>25</v>
      </c>
      <c r="S29" s="18">
        <v>52</v>
      </c>
      <c r="T29" s="18">
        <v>2</v>
      </c>
      <c r="U29" s="18">
        <v>76</v>
      </c>
      <c r="V29" s="1" t="s">
        <v>113</v>
      </c>
    </row>
    <row r="30" spans="1:22" ht="15.75" customHeight="1" x14ac:dyDescent="0.15">
      <c r="A30" s="1">
        <v>26</v>
      </c>
      <c r="B30" s="20" t="s">
        <v>85</v>
      </c>
      <c r="C30" s="20" t="s">
        <v>86</v>
      </c>
      <c r="D30" s="21"/>
      <c r="E30" s="22"/>
      <c r="F30" s="22"/>
      <c r="G30" s="22"/>
      <c r="H30" s="23"/>
      <c r="I30" s="24">
        <f t="shared" si="0"/>
        <v>0</v>
      </c>
      <c r="J30" s="25">
        <f t="shared" si="1"/>
        <v>0</v>
      </c>
      <c r="K30" s="21"/>
      <c r="L30" s="22">
        <v>48</v>
      </c>
      <c r="M30" s="22"/>
      <c r="N30" s="22"/>
      <c r="O30" s="23"/>
      <c r="P30" s="24">
        <f t="shared" si="2"/>
        <v>48</v>
      </c>
      <c r="Q30" s="25">
        <f t="shared" si="3"/>
        <v>0.54666666666666663</v>
      </c>
      <c r="R30" s="18" t="s">
        <v>87</v>
      </c>
      <c r="S30" s="18">
        <v>80</v>
      </c>
      <c r="T30" s="18">
        <v>3</v>
      </c>
      <c r="U30" s="18">
        <v>41</v>
      </c>
      <c r="V30" s="1" t="s">
        <v>114</v>
      </c>
    </row>
    <row r="31" spans="1:22" ht="15.75" customHeight="1" x14ac:dyDescent="0.15">
      <c r="A31" s="1">
        <v>27</v>
      </c>
      <c r="B31" s="20" t="s">
        <v>93</v>
      </c>
      <c r="C31" s="20" t="s">
        <v>94</v>
      </c>
      <c r="D31" s="21"/>
      <c r="E31" s="22"/>
      <c r="F31" s="22"/>
      <c r="G31" s="22">
        <v>60</v>
      </c>
      <c r="H31" s="23"/>
      <c r="I31" s="24">
        <f t="shared" si="0"/>
        <v>60</v>
      </c>
      <c r="J31" s="25">
        <f t="shared" si="1"/>
        <v>2.1666666666666665</v>
      </c>
      <c r="K31" s="21"/>
      <c r="L31" s="22"/>
      <c r="M31" s="22"/>
      <c r="N31" s="22"/>
      <c r="O31" s="23"/>
      <c r="P31" s="24">
        <f t="shared" si="2"/>
        <v>0</v>
      </c>
      <c r="Q31" s="25">
        <f t="shared" si="3"/>
        <v>0</v>
      </c>
      <c r="R31" s="18" t="s">
        <v>90</v>
      </c>
      <c r="S31" s="18">
        <v>31</v>
      </c>
      <c r="T31" s="18">
        <v>3</v>
      </c>
      <c r="U31" s="18">
        <v>130</v>
      </c>
      <c r="V31" s="1" t="s">
        <v>113</v>
      </c>
    </row>
    <row r="32" spans="1:22" ht="15.75" customHeight="1" x14ac:dyDescent="0.15">
      <c r="A32" s="1">
        <v>28</v>
      </c>
      <c r="B32" s="20" t="s">
        <v>61</v>
      </c>
      <c r="C32" s="20" t="s">
        <v>62</v>
      </c>
      <c r="D32" s="21">
        <v>6</v>
      </c>
      <c r="E32" s="22"/>
      <c r="F32" s="22"/>
      <c r="G32" s="22"/>
      <c r="H32" s="23"/>
      <c r="I32" s="24">
        <f t="shared" si="0"/>
        <v>6</v>
      </c>
      <c r="J32" s="25">
        <f t="shared" si="1"/>
        <v>0.18833333333333332</v>
      </c>
      <c r="K32" s="21"/>
      <c r="L32" s="22"/>
      <c r="M32" s="22"/>
      <c r="N32" s="22"/>
      <c r="O32" s="23"/>
      <c r="P32" s="24">
        <f t="shared" si="2"/>
        <v>0</v>
      </c>
      <c r="Q32" s="25">
        <f t="shared" si="3"/>
        <v>0</v>
      </c>
      <c r="R32" s="18" t="s">
        <v>63</v>
      </c>
      <c r="S32" s="18">
        <v>36</v>
      </c>
      <c r="T32" s="18">
        <v>3</v>
      </c>
      <c r="U32" s="18">
        <v>113</v>
      </c>
      <c r="V32" s="1" t="s">
        <v>114</v>
      </c>
    </row>
    <row r="33" spans="1:22" ht="15.75" customHeight="1" x14ac:dyDescent="0.15">
      <c r="A33" s="1">
        <v>29</v>
      </c>
      <c r="B33" s="20" t="s">
        <v>67</v>
      </c>
      <c r="C33" s="20" t="s">
        <v>68</v>
      </c>
      <c r="D33" s="21"/>
      <c r="E33" s="22"/>
      <c r="F33" s="22">
        <v>9</v>
      </c>
      <c r="G33" s="22"/>
      <c r="H33" s="23"/>
      <c r="I33" s="24">
        <f t="shared" si="0"/>
        <v>9</v>
      </c>
      <c r="J33" s="25">
        <f t="shared" si="1"/>
        <v>0.4</v>
      </c>
      <c r="K33" s="21"/>
      <c r="L33" s="22"/>
      <c r="M33" s="22"/>
      <c r="N33" s="22"/>
      <c r="O33" s="23"/>
      <c r="P33" s="24">
        <f t="shared" si="2"/>
        <v>0</v>
      </c>
      <c r="Q33" s="25">
        <f t="shared" si="3"/>
        <v>0</v>
      </c>
      <c r="R33" s="18" t="s">
        <v>66</v>
      </c>
      <c r="S33" s="18">
        <v>28</v>
      </c>
      <c r="T33" s="18">
        <v>2</v>
      </c>
      <c r="U33" s="18">
        <v>160</v>
      </c>
      <c r="V33" s="1" t="s">
        <v>114</v>
      </c>
    </row>
    <row r="34" spans="1:22" ht="15.75" customHeight="1" x14ac:dyDescent="0.15">
      <c r="A34" s="1">
        <v>30</v>
      </c>
      <c r="B34" s="20" t="s">
        <v>36</v>
      </c>
      <c r="C34" s="20" t="s">
        <v>37</v>
      </c>
      <c r="D34" s="21"/>
      <c r="E34" s="22"/>
      <c r="F34" s="22"/>
      <c r="G34" s="22"/>
      <c r="H34" s="23"/>
      <c r="I34" s="24">
        <f t="shared" si="0"/>
        <v>0</v>
      </c>
      <c r="J34" s="25">
        <f t="shared" si="1"/>
        <v>0</v>
      </c>
      <c r="K34" s="21"/>
      <c r="L34" s="22"/>
      <c r="M34" s="22">
        <v>96</v>
      </c>
      <c r="N34" s="22"/>
      <c r="O34" s="23"/>
      <c r="P34" s="24">
        <f t="shared" si="2"/>
        <v>96</v>
      </c>
      <c r="Q34" s="25">
        <f t="shared" si="3"/>
        <v>2.56</v>
      </c>
      <c r="R34" s="18" t="s">
        <v>33</v>
      </c>
      <c r="S34" s="18">
        <v>88</v>
      </c>
      <c r="T34" s="18">
        <v>2</v>
      </c>
      <c r="U34" s="18">
        <v>96</v>
      </c>
      <c r="V34" s="1" t="s">
        <v>113</v>
      </c>
    </row>
    <row r="35" spans="1:22" ht="15.75" customHeight="1" x14ac:dyDescent="0.15">
      <c r="A35" s="1">
        <v>31</v>
      </c>
      <c r="B35" s="20" t="s">
        <v>38</v>
      </c>
      <c r="C35" s="20" t="s">
        <v>39</v>
      </c>
      <c r="D35" s="21"/>
      <c r="E35" s="22"/>
      <c r="F35" s="22"/>
      <c r="G35" s="22"/>
      <c r="H35" s="23"/>
      <c r="I35" s="24">
        <f t="shared" si="0"/>
        <v>0</v>
      </c>
      <c r="J35" s="25">
        <f t="shared" si="1"/>
        <v>0</v>
      </c>
      <c r="K35" s="21"/>
      <c r="L35" s="22">
        <v>150</v>
      </c>
      <c r="M35" s="22"/>
      <c r="N35" s="22"/>
      <c r="O35" s="23"/>
      <c r="P35" s="24">
        <f t="shared" si="2"/>
        <v>150</v>
      </c>
      <c r="Q35" s="25">
        <f t="shared" si="3"/>
        <v>2.6666666666666665</v>
      </c>
      <c r="R35" s="18" t="s">
        <v>33</v>
      </c>
      <c r="S35" s="18">
        <v>50</v>
      </c>
      <c r="T35" s="18">
        <v>2</v>
      </c>
      <c r="U35" s="18">
        <v>64</v>
      </c>
      <c r="V35" s="1" t="s">
        <v>113</v>
      </c>
    </row>
    <row r="36" spans="1:22" ht="15.75" customHeight="1" x14ac:dyDescent="0.15">
      <c r="A36" s="1">
        <v>32</v>
      </c>
      <c r="B36" s="20" t="s">
        <v>53</v>
      </c>
      <c r="C36" s="20" t="s">
        <v>54</v>
      </c>
      <c r="D36" s="21"/>
      <c r="E36" s="22"/>
      <c r="F36" s="22"/>
      <c r="G36" s="22"/>
      <c r="H36" s="23"/>
      <c r="I36" s="24">
        <f t="shared" si="0"/>
        <v>0</v>
      </c>
      <c r="J36" s="25">
        <f t="shared" si="1"/>
        <v>0</v>
      </c>
      <c r="K36" s="21">
        <v>10</v>
      </c>
      <c r="L36" s="22">
        <v>60</v>
      </c>
      <c r="M36" s="22">
        <v>20</v>
      </c>
      <c r="N36" s="22"/>
      <c r="O36" s="23"/>
      <c r="P36" s="24">
        <f t="shared" si="2"/>
        <v>90</v>
      </c>
      <c r="Q36" s="25">
        <f t="shared" si="3"/>
        <v>2.1749999999999998</v>
      </c>
      <c r="R36" s="18" t="s">
        <v>52</v>
      </c>
      <c r="S36" s="18">
        <v>40</v>
      </c>
      <c r="T36" s="18">
        <v>2</v>
      </c>
      <c r="U36" s="18">
        <v>87</v>
      </c>
      <c r="V36" s="1" t="s">
        <v>113</v>
      </c>
    </row>
    <row r="37" spans="1:22" ht="15.75" customHeight="1" x14ac:dyDescent="0.15">
      <c r="A37" s="1">
        <v>33</v>
      </c>
      <c r="B37" s="20" t="s">
        <v>29</v>
      </c>
      <c r="C37" s="20" t="s">
        <v>30</v>
      </c>
      <c r="D37" s="21"/>
      <c r="E37" s="22"/>
      <c r="F37" s="22"/>
      <c r="G37" s="22"/>
      <c r="H37" s="23"/>
      <c r="I37" s="24">
        <f t="shared" si="0"/>
        <v>0</v>
      </c>
      <c r="J37" s="25">
        <f t="shared" si="1"/>
        <v>0</v>
      </c>
      <c r="K37" s="21">
        <v>62</v>
      </c>
      <c r="L37" s="22"/>
      <c r="M37" s="22">
        <v>62</v>
      </c>
      <c r="N37" s="22"/>
      <c r="O37" s="23"/>
      <c r="P37" s="24">
        <f t="shared" si="2"/>
        <v>124</v>
      </c>
      <c r="Q37" s="25">
        <f t="shared" si="3"/>
        <v>0</v>
      </c>
      <c r="R37" s="18" t="s">
        <v>25</v>
      </c>
      <c r="S37" s="18">
        <v>42</v>
      </c>
      <c r="T37" s="18">
        <v>2</v>
      </c>
      <c r="U37" s="18">
        <v>0</v>
      </c>
      <c r="V37" s="1" t="s">
        <v>113</v>
      </c>
    </row>
    <row r="38" spans="1:22" ht="15.75" customHeight="1" x14ac:dyDescent="0.15">
      <c r="A38" s="1">
        <v>34</v>
      </c>
      <c r="B38" s="20" t="s">
        <v>82</v>
      </c>
      <c r="C38" s="20" t="s">
        <v>83</v>
      </c>
      <c r="D38" s="21"/>
      <c r="E38" s="22"/>
      <c r="F38" s="22"/>
      <c r="G38" s="22"/>
      <c r="H38" s="23"/>
      <c r="I38" s="24">
        <f t="shared" si="0"/>
        <v>0</v>
      </c>
      <c r="J38" s="25">
        <f t="shared" si="1"/>
        <v>0</v>
      </c>
      <c r="K38" s="21">
        <v>12</v>
      </c>
      <c r="L38" s="22">
        <v>8</v>
      </c>
      <c r="M38" s="22">
        <v>4</v>
      </c>
      <c r="N38" s="22"/>
      <c r="O38" s="23"/>
      <c r="P38" s="24">
        <f t="shared" si="2"/>
        <v>24</v>
      </c>
      <c r="Q38" s="25">
        <f t="shared" si="3"/>
        <v>0.30666666666666664</v>
      </c>
      <c r="R38" s="18" t="s">
        <v>84</v>
      </c>
      <c r="S38" s="18">
        <v>119</v>
      </c>
      <c r="T38" s="18">
        <v>2</v>
      </c>
      <c r="U38" s="18">
        <v>46</v>
      </c>
      <c r="V38" s="1" t="s">
        <v>113</v>
      </c>
    </row>
    <row r="39" spans="1:22" ht="15.75" customHeight="1" x14ac:dyDescent="0.15">
      <c r="A39" s="1">
        <v>35</v>
      </c>
      <c r="B39" s="20" t="s">
        <v>19</v>
      </c>
      <c r="C39" s="20" t="s">
        <v>20</v>
      </c>
      <c r="D39" s="21"/>
      <c r="E39" s="22"/>
      <c r="F39" s="22"/>
      <c r="G39" s="22">
        <v>47</v>
      </c>
      <c r="H39" s="23"/>
      <c r="I39" s="24">
        <f t="shared" si="0"/>
        <v>47</v>
      </c>
      <c r="J39" s="25">
        <f t="shared" si="1"/>
        <v>1.9583333333333333</v>
      </c>
      <c r="K39" s="21"/>
      <c r="L39" s="22"/>
      <c r="M39" s="22"/>
      <c r="N39" s="22"/>
      <c r="O39" s="23"/>
      <c r="P39" s="24">
        <f t="shared" si="2"/>
        <v>0</v>
      </c>
      <c r="Q39" s="25">
        <f t="shared" si="3"/>
        <v>0</v>
      </c>
      <c r="R39" s="18" t="s">
        <v>18</v>
      </c>
      <c r="S39" s="18">
        <v>0</v>
      </c>
      <c r="T39" s="18">
        <v>4</v>
      </c>
      <c r="U39" s="18">
        <v>150</v>
      </c>
      <c r="V39" s="1">
        <v>0</v>
      </c>
    </row>
    <row r="40" spans="1:22" ht="15.75" customHeight="1" x14ac:dyDescent="0.15">
      <c r="A40" s="1">
        <v>36</v>
      </c>
      <c r="B40" s="20" t="s">
        <v>80</v>
      </c>
      <c r="C40" s="20" t="s">
        <v>81</v>
      </c>
      <c r="D40" s="21"/>
      <c r="E40" s="22"/>
      <c r="F40" s="22">
        <v>30</v>
      </c>
      <c r="G40" s="22"/>
      <c r="H40" s="23">
        <v>30</v>
      </c>
      <c r="I40" s="24">
        <f t="shared" si="0"/>
        <v>60</v>
      </c>
      <c r="J40" s="25">
        <f t="shared" si="1"/>
        <v>2.1333333333333333</v>
      </c>
      <c r="K40" s="21"/>
      <c r="L40" s="22"/>
      <c r="M40" s="22"/>
      <c r="N40" s="22"/>
      <c r="O40" s="23"/>
      <c r="P40" s="24">
        <f t="shared" si="2"/>
        <v>0</v>
      </c>
      <c r="Q40" s="25">
        <f t="shared" si="3"/>
        <v>0</v>
      </c>
      <c r="R40" s="18" t="s">
        <v>77</v>
      </c>
      <c r="S40" s="18">
        <v>61</v>
      </c>
      <c r="T40" s="18">
        <v>2</v>
      </c>
      <c r="U40" s="18">
        <v>128</v>
      </c>
      <c r="V40" s="1" t="s">
        <v>113</v>
      </c>
    </row>
    <row r="41" spans="1:22" ht="15.75" customHeight="1" x14ac:dyDescent="0.15">
      <c r="A41" s="1">
        <v>37</v>
      </c>
      <c r="B41" s="20" t="s">
        <v>21</v>
      </c>
      <c r="C41" s="20" t="s">
        <v>20</v>
      </c>
      <c r="D41" s="21"/>
      <c r="E41" s="22"/>
      <c r="F41" s="22"/>
      <c r="G41" s="22"/>
      <c r="H41" s="23">
        <v>7</v>
      </c>
      <c r="I41" s="24">
        <f t="shared" si="0"/>
        <v>7</v>
      </c>
      <c r="J41" s="25">
        <f t="shared" si="1"/>
        <v>0</v>
      </c>
      <c r="K41" s="21">
        <v>10</v>
      </c>
      <c r="L41" s="22"/>
      <c r="M41" s="22"/>
      <c r="N41" s="22"/>
      <c r="O41" s="23"/>
      <c r="P41" s="24">
        <f t="shared" si="2"/>
        <v>10</v>
      </c>
      <c r="Q41" s="25">
        <f t="shared" si="3"/>
        <v>0</v>
      </c>
      <c r="R41" s="18" t="s">
        <v>22</v>
      </c>
      <c r="S41" s="18">
        <v>40</v>
      </c>
      <c r="T41" s="18">
        <v>4</v>
      </c>
      <c r="U41" s="18">
        <v>0</v>
      </c>
      <c r="V41" s="1">
        <v>0</v>
      </c>
    </row>
    <row r="42" spans="1:22" ht="15.75" customHeight="1" x14ac:dyDescent="0.15">
      <c r="A42" s="1">
        <v>38</v>
      </c>
      <c r="B42" s="20" t="s">
        <v>40</v>
      </c>
      <c r="C42" s="20" t="s">
        <v>41</v>
      </c>
      <c r="D42" s="21"/>
      <c r="E42" s="22"/>
      <c r="F42" s="22"/>
      <c r="G42" s="22"/>
      <c r="H42" s="23"/>
      <c r="I42" s="24">
        <f t="shared" si="0"/>
        <v>0</v>
      </c>
      <c r="J42" s="25">
        <f t="shared" si="1"/>
        <v>0</v>
      </c>
      <c r="K42" s="21"/>
      <c r="L42" s="22">
        <v>96</v>
      </c>
      <c r="M42" s="22"/>
      <c r="N42" s="22"/>
      <c r="O42" s="23"/>
      <c r="P42" s="24">
        <f t="shared" si="2"/>
        <v>96</v>
      </c>
      <c r="Q42" s="25">
        <f t="shared" si="3"/>
        <v>2.6666666666666665</v>
      </c>
      <c r="R42" s="18" t="s">
        <v>33</v>
      </c>
      <c r="S42" s="18">
        <v>30</v>
      </c>
      <c r="T42" s="18">
        <v>2</v>
      </c>
      <c r="U42" s="18">
        <v>100</v>
      </c>
      <c r="V42" s="1" t="s">
        <v>113</v>
      </c>
    </row>
    <row r="43" spans="1:22" s="5" customFormat="1" ht="12.75" thickBot="1" x14ac:dyDescent="0.2">
      <c r="A43" s="1"/>
      <c r="B43" s="26" t="s">
        <v>11</v>
      </c>
      <c r="C43" s="27"/>
      <c r="D43" s="28">
        <f>SUM(D5:D42)</f>
        <v>57</v>
      </c>
      <c r="E43" s="28">
        <f>SUM(E5:E42)</f>
        <v>98</v>
      </c>
      <c r="F43" s="28">
        <f>SUM(F5:F42)</f>
        <v>87</v>
      </c>
      <c r="G43" s="28">
        <f>SUM(G5:G42)</f>
        <v>427</v>
      </c>
      <c r="H43" s="28">
        <f>SUM(H5:H42)</f>
        <v>225</v>
      </c>
      <c r="I43" s="3"/>
      <c r="J43" s="29">
        <f>SUMIF(J5:J42,"&lt;&gt;#N/A")</f>
        <v>24.670277777777773</v>
      </c>
      <c r="K43" s="28">
        <f>SUM(K5:K42)</f>
        <v>304</v>
      </c>
      <c r="L43" s="28">
        <f>SUM(L5:L42)</f>
        <v>510</v>
      </c>
      <c r="M43" s="28">
        <f>SUM(M5:M42)</f>
        <v>543</v>
      </c>
      <c r="N43" s="28">
        <f>SUM(N5:N42)</f>
        <v>0</v>
      </c>
      <c r="O43" s="28">
        <f>SUM(O5:O42)</f>
        <v>0</v>
      </c>
      <c r="P43" s="3"/>
      <c r="Q43" s="29">
        <f>SUMIF(Q5:Q42,"&lt;&gt;#N/A")</f>
        <v>28.990000000000006</v>
      </c>
      <c r="T43"/>
      <c r="U43"/>
      <c r="V43" s="1"/>
    </row>
    <row r="44" spans="1:22" s="5" customFormat="1" ht="12.75" thickBot="1" x14ac:dyDescent="0.2">
      <c r="A44" s="1"/>
      <c r="B44" s="7"/>
      <c r="C44" s="7"/>
      <c r="D44" s="28"/>
      <c r="E44" s="28"/>
      <c r="F44" s="28"/>
      <c r="G44" s="28"/>
      <c r="H44" s="30">
        <f>SUM(D43:H43)</f>
        <v>894</v>
      </c>
      <c r="I44" s="3"/>
      <c r="J44" s="31">
        <f>J43/5</f>
        <v>4.9340555555555543</v>
      </c>
      <c r="K44" s="28"/>
      <c r="L44" s="28"/>
      <c r="M44" s="28"/>
      <c r="N44" s="28"/>
      <c r="O44" s="30">
        <f>SUM(K43:O43)</f>
        <v>1357</v>
      </c>
      <c r="P44" s="3"/>
      <c r="Q44" s="32">
        <f>Q43/5</f>
        <v>5.7980000000000009</v>
      </c>
      <c r="T44"/>
      <c r="U44"/>
      <c r="V44" s="1"/>
    </row>
    <row r="45" spans="1:22" s="5" customFormat="1" ht="15.95" customHeight="1" thickBot="1" x14ac:dyDescent="0.2">
      <c r="A45" s="1"/>
      <c r="B45" s="7"/>
      <c r="C45" s="7"/>
      <c r="D45" s="3"/>
      <c r="E45" s="3"/>
      <c r="F45" s="3"/>
      <c r="G45" s="3"/>
      <c r="H45" s="31">
        <f>H44/5</f>
        <v>178.8</v>
      </c>
      <c r="I45" s="3"/>
      <c r="L45" s="3"/>
      <c r="M45" s="3"/>
      <c r="N45" s="3"/>
      <c r="O45" s="32">
        <f>O44/5</f>
        <v>271.39999999999998</v>
      </c>
      <c r="P45" s="3"/>
      <c r="T45"/>
      <c r="U45"/>
      <c r="V45" s="1"/>
    </row>
    <row r="46" spans="1:22" x14ac:dyDescent="0.15">
      <c r="I46" s="3"/>
      <c r="J46" s="3"/>
    </row>
    <row r="47" spans="1:22" x14ac:dyDescent="0.15">
      <c r="I47" s="3"/>
      <c r="J47" s="3"/>
    </row>
  </sheetData>
  <phoneticPr fontId="2"/>
  <conditionalFormatting sqref="R1:U44 K45 S45:U45">
    <cfRule type="cellIs" dxfId="1" priority="2" stopIfTrue="1" operator="equal">
      <formula>0</formula>
    </cfRule>
  </conditionalFormatting>
  <conditionalFormatting sqref="R46:U65512">
    <cfRule type="cellIs" dxfId="0" priority="1" stopIfTrue="1" operator="equal">
      <formula>0</formula>
    </cfRule>
  </conditionalFormatting>
  <pageMargins left="0.23622047244094491" right="0.23622047244094491" top="0.55118110236220474" bottom="0.15748031496062992" header="0.31496062992125984" footer="0.31496062992125984"/>
  <pageSetup paperSize="9" scale="8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雛形</vt:lpstr>
      <vt:lpstr>サンプル</vt:lpstr>
      <vt:lpstr>①オリジナルサンプル</vt:lpstr>
      <vt:lpstr>①オリジナルサンプル!Print_Area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nabe</dc:creator>
  <cp:keywords/>
  <dc:description/>
  <cp:lastModifiedBy>koken090</cp:lastModifiedBy>
  <cp:revision/>
  <dcterms:created xsi:type="dcterms:W3CDTF">2026-05-17T01:14:42Z</dcterms:created>
  <dcterms:modified xsi:type="dcterms:W3CDTF">2026-05-18T03:56:34Z</dcterms:modified>
  <cp:category/>
  <cp:contentStatus/>
</cp:coreProperties>
</file>